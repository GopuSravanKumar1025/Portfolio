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5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xl/externalLinks/externalLink2.xml" ContentType="application/vnd.openxmlformats-officedocument.spreadsheetml.externalLink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mc:AlternateContent xmlns:mc="http://schemas.openxmlformats.org/markup-compatibility/2006">
    <mc:Choice Requires="x15">
      <x15ac:absPath xmlns:x15ac="http://schemas.microsoft.com/office/spreadsheetml/2010/11/ac" url="https://mycardiumailtd.sharepoint.com/sites/MycardiumAILtd/Shared Documents/General/Dashboards/Data Source/Scripts/Core_Labs/"/>
    </mc:Choice>
  </mc:AlternateContent>
  <xr:revisionPtr revIDLastSave="169" documentId="13_ncr:1_{53455D98-ED45-408B-B41D-EE2EB31688C6}" xr6:coauthVersionLast="47" xr6:coauthVersionMax="47" xr10:uidLastSave="{F8FC779E-8DA0-4D15-8F7E-440FDCD7899A}"/>
  <bookViews>
    <workbookView xWindow="-108" yWindow="-108" windowWidth="23256" windowHeight="12456" firstSheet="1" xr2:uid="{00000000-000D-0000-FFFF-FFFF00000000}"/>
  </bookViews>
  <sheets>
    <sheet name="Overview" sheetId="1" r:id="rId1"/>
    <sheet name="ScanForecast23-24" sheetId="2" r:id="rId2"/>
    <sheet name="ScanForecast24-25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G30" i="1"/>
  <c r="AG5" i="3"/>
  <c r="AG6" i="3"/>
  <c r="AG7" i="3"/>
  <c r="AG8" i="3"/>
  <c r="AF5" i="3"/>
  <c r="AF6" i="3"/>
  <c r="I17" i="2" l="1"/>
  <c r="I16" i="2"/>
  <c r="AH7" i="3"/>
  <c r="AH6" i="3"/>
  <c r="AH5" i="3"/>
  <c r="AE4" i="3"/>
  <c r="AC4" i="3"/>
  <c r="AA4" i="3"/>
  <c r="S4" i="3"/>
  <c r="AG4" i="3" s="1"/>
  <c r="N4" i="3"/>
  <c r="AF4" i="3" s="1"/>
  <c r="AE3" i="3"/>
  <c r="AC3" i="3"/>
  <c r="AA3" i="3"/>
  <c r="S3" i="3"/>
  <c r="N3" i="3"/>
  <c r="AF3" i="3" s="1"/>
  <c r="AE2" i="3"/>
  <c r="AC2" i="3"/>
  <c r="AA2" i="3"/>
  <c r="S2" i="3"/>
  <c r="N2" i="3"/>
  <c r="AF2" i="3" s="1"/>
  <c r="AK26" i="2"/>
  <c r="AG26" i="2"/>
  <c r="AC26" i="2"/>
  <c r="Y26" i="2"/>
  <c r="W26" i="2"/>
  <c r="U26" i="2"/>
  <c r="S26" i="2"/>
  <c r="Q26" i="2"/>
  <c r="P26" i="2"/>
  <c r="AL26" i="2" s="1"/>
  <c r="O26" i="2"/>
  <c r="M26" i="2"/>
  <c r="K26" i="2"/>
  <c r="G26" i="2"/>
  <c r="C26" i="2"/>
  <c r="AL25" i="2"/>
  <c r="AK25" i="2"/>
  <c r="AG25" i="2"/>
  <c r="AC25" i="2"/>
  <c r="Y25" i="2"/>
  <c r="W25" i="2"/>
  <c r="U25" i="2"/>
  <c r="S25" i="2"/>
  <c r="Q25" i="2"/>
  <c r="O25" i="2"/>
  <c r="M25" i="2"/>
  <c r="K25" i="2"/>
  <c r="G25" i="2"/>
  <c r="C25" i="2"/>
  <c r="AL24" i="2"/>
  <c r="AG24" i="2"/>
  <c r="AC24" i="2"/>
  <c r="Y24" i="2"/>
  <c r="W24" i="2"/>
  <c r="U24" i="2"/>
  <c r="S24" i="2"/>
  <c r="Q24" i="2"/>
  <c r="O24" i="2"/>
  <c r="M24" i="2"/>
  <c r="K24" i="2"/>
  <c r="G24" i="2"/>
  <c r="C24" i="2"/>
  <c r="AL23" i="2"/>
  <c r="AG23" i="2"/>
  <c r="AC23" i="2"/>
  <c r="Y23" i="2"/>
  <c r="W23" i="2"/>
  <c r="U23" i="2"/>
  <c r="S23" i="2"/>
  <c r="Q23" i="2"/>
  <c r="O23" i="2"/>
  <c r="M23" i="2"/>
  <c r="K23" i="2"/>
  <c r="G23" i="2"/>
  <c r="C23" i="2"/>
  <c r="AL22" i="2"/>
  <c r="AG22" i="2"/>
  <c r="Y22" i="2"/>
  <c r="W22" i="2"/>
  <c r="S22" i="2"/>
  <c r="Q22" i="2"/>
  <c r="O22" i="2"/>
  <c r="M22" i="2"/>
  <c r="K22" i="2"/>
  <c r="G22" i="2"/>
  <c r="C22" i="2"/>
  <c r="AL21" i="2"/>
  <c r="AG21" i="2"/>
  <c r="Y21" i="2"/>
  <c r="W21" i="2"/>
  <c r="S21" i="2"/>
  <c r="Q21" i="2"/>
  <c r="O21" i="2"/>
  <c r="M21" i="2"/>
  <c r="K21" i="2"/>
  <c r="G21" i="2"/>
  <c r="C21" i="2"/>
  <c r="AL20" i="2"/>
  <c r="Y20" i="2"/>
  <c r="W20" i="2"/>
  <c r="S20" i="2"/>
  <c r="Q20" i="2"/>
  <c r="O20" i="2"/>
  <c r="M20" i="2"/>
  <c r="K20" i="2"/>
  <c r="G20" i="2"/>
  <c r="C20" i="2"/>
  <c r="AL19" i="2"/>
  <c r="AE19" i="2"/>
  <c r="Y19" i="2"/>
  <c r="W19" i="2"/>
  <c r="S19" i="2"/>
  <c r="Q19" i="2"/>
  <c r="O19" i="2"/>
  <c r="M19" i="2"/>
  <c r="K19" i="2"/>
  <c r="G19" i="2"/>
  <c r="C19" i="2"/>
  <c r="AL18" i="2"/>
  <c r="AE18" i="2"/>
  <c r="Y18" i="2"/>
  <c r="W18" i="2"/>
  <c r="Q18" i="2"/>
  <c r="M18" i="2"/>
  <c r="K18" i="2"/>
  <c r="I18" i="2"/>
  <c r="G18" i="2"/>
  <c r="C18" i="2"/>
  <c r="AL17" i="2"/>
  <c r="AE17" i="2"/>
  <c r="W17" i="2"/>
  <c r="Q17" i="2"/>
  <c r="M17" i="2"/>
  <c r="K17" i="2"/>
  <c r="G17" i="2"/>
  <c r="C17" i="2"/>
  <c r="AL16" i="2"/>
  <c r="AE16" i="2"/>
  <c r="W16" i="2"/>
  <c r="M16" i="2"/>
  <c r="K16" i="2"/>
  <c r="G16" i="2"/>
  <c r="C16" i="2"/>
  <c r="AL15" i="2"/>
  <c r="W15" i="2"/>
  <c r="M15" i="2"/>
  <c r="K15" i="2"/>
  <c r="I15" i="2"/>
  <c r="G15" i="2"/>
  <c r="C15" i="2"/>
  <c r="AL14" i="2"/>
  <c r="M14" i="2"/>
  <c r="K14" i="2"/>
  <c r="G14" i="2"/>
  <c r="C14" i="2"/>
  <c r="AL13" i="2"/>
  <c r="M13" i="2"/>
  <c r="K13" i="2"/>
  <c r="G13" i="2"/>
  <c r="C13" i="2"/>
  <c r="AL12" i="2"/>
  <c r="M12" i="2"/>
  <c r="K12" i="2"/>
  <c r="G12" i="2"/>
  <c r="C12" i="2"/>
  <c r="AM12" i="2" s="1"/>
  <c r="AN12" i="2" s="1"/>
  <c r="AL11" i="2"/>
  <c r="K11" i="2"/>
  <c r="G11" i="2"/>
  <c r="C11" i="2"/>
  <c r="AL10" i="2"/>
  <c r="K10" i="2"/>
  <c r="G10" i="2"/>
  <c r="C10" i="2"/>
  <c r="AM10" i="2" s="1"/>
  <c r="AL9" i="2"/>
  <c r="K9" i="2"/>
  <c r="G9" i="2"/>
  <c r="C9" i="2"/>
  <c r="AL8" i="2"/>
  <c r="G8" i="2"/>
  <c r="C8" i="2"/>
  <c r="AL7" i="2"/>
  <c r="G7" i="2"/>
  <c r="C7" i="2"/>
  <c r="AM7" i="2" s="1"/>
  <c r="AL6" i="2"/>
  <c r="C6" i="2"/>
  <c r="AM6" i="2" s="1"/>
  <c r="AL5" i="2"/>
  <c r="C5" i="2"/>
  <c r="AM5" i="2" s="1"/>
  <c r="AM4" i="2"/>
  <c r="AL4" i="2"/>
  <c r="AM3" i="2"/>
  <c r="AL3" i="2"/>
  <c r="AM2" i="2"/>
  <c r="AL2" i="2"/>
  <c r="AM11" i="2" l="1"/>
  <c r="AM13" i="2"/>
  <c r="AN13" i="2" s="1"/>
  <c r="AM15" i="2"/>
  <c r="AN15" i="2" s="1"/>
  <c r="AM26" i="2"/>
  <c r="AN26" i="2" s="1"/>
  <c r="AM8" i="2"/>
  <c r="AM18" i="2"/>
  <c r="AN18" i="2" s="1"/>
  <c r="AM14" i="2"/>
  <c r="AN14" i="2" s="1"/>
  <c r="AG2" i="3"/>
  <c r="AH2" i="3" s="1"/>
  <c r="AM25" i="2"/>
  <c r="AN25" i="2" s="1"/>
  <c r="AH4" i="3"/>
  <c r="AM19" i="2"/>
  <c r="AN19" i="2" s="1"/>
  <c r="AM9" i="2"/>
  <c r="AM17" i="2"/>
  <c r="AN17" i="2" s="1"/>
  <c r="AM21" i="2"/>
  <c r="AN21" i="2" s="1"/>
  <c r="AM20" i="2"/>
  <c r="AN20" i="2" s="1"/>
  <c r="AM16" i="2"/>
  <c r="AN16" i="2" s="1"/>
  <c r="AG3" i="3"/>
  <c r="AH3" i="3" s="1"/>
  <c r="AM22" i="2"/>
  <c r="AN22" i="2" s="1"/>
  <c r="AM23" i="2"/>
  <c r="AN23" i="2" s="1"/>
  <c r="AM24" i="2"/>
  <c r="AN24" i="2" s="1"/>
  <c r="AN11" i="2"/>
</calcChain>
</file>

<file path=xl/sharedStrings.xml><?xml version="1.0" encoding="utf-8"?>
<sst xmlns="http://schemas.openxmlformats.org/spreadsheetml/2006/main" count="203" uniqueCount="139">
  <si>
    <t>Internal Project ID</t>
  </si>
  <si>
    <t>Protocol ID</t>
  </si>
  <si>
    <t>Sponsor</t>
  </si>
  <si>
    <t>Project Award Date</t>
  </si>
  <si>
    <t>Stage</t>
  </si>
  <si>
    <t>Number of scans per contract</t>
  </si>
  <si>
    <t>Total Contract Value</t>
  </si>
  <si>
    <t>Invoiced to Date (July2024)</t>
  </si>
  <si>
    <t>MCD-001</t>
  </si>
  <si>
    <t>EFC16158</t>
  </si>
  <si>
    <t>Sanofi</t>
  </si>
  <si>
    <t>Active</t>
  </si>
  <si>
    <t>MCD-002</t>
  </si>
  <si>
    <t>BRITISH</t>
  </si>
  <si>
    <t>University of Southampton</t>
  </si>
  <si>
    <t>MCD-003</t>
  </si>
  <si>
    <t>ITL-2001-CL-001</t>
  </si>
  <si>
    <t>Intellia</t>
  </si>
  <si>
    <t>$314,993</t>
  </si>
  <si>
    <t>MCD-004</t>
  </si>
  <si>
    <t>AT02-001</t>
  </si>
  <si>
    <t>Attralus</t>
  </si>
  <si>
    <t>MCD-005</t>
  </si>
  <si>
    <t>AT02-003</t>
  </si>
  <si>
    <t>MCD-006</t>
  </si>
  <si>
    <t>LX2020-01</t>
  </si>
  <si>
    <t>Lexeo</t>
  </si>
  <si>
    <t>MCD-007</t>
  </si>
  <si>
    <t>CY-6033</t>
  </si>
  <si>
    <t>Cytokinetics</t>
  </si>
  <si>
    <t>$569,088</t>
  </si>
  <si>
    <t>$133560</t>
  </si>
  <si>
    <t>MCD-008</t>
  </si>
  <si>
    <t>ITL-2001-CL-301</t>
  </si>
  <si>
    <t>$698,511</t>
  </si>
  <si>
    <t>$252,927.19</t>
  </si>
  <si>
    <t>MCD-009</t>
  </si>
  <si>
    <t>ION-682884-CS2</t>
  </si>
  <si>
    <t>Ionis</t>
  </si>
  <si>
    <t>Active - Quiet</t>
  </si>
  <si>
    <t>MCD-010</t>
  </si>
  <si>
    <t>EARLY-HF-01</t>
  </si>
  <si>
    <t>Manchester Foundation Trust</t>
  </si>
  <si>
    <t>MCD-011</t>
  </si>
  <si>
    <t>Renal Lifecycle Trial</t>
  </si>
  <si>
    <t>George Institute</t>
  </si>
  <si>
    <t>Contract</t>
  </si>
  <si>
    <t>MCD-012</t>
  </si>
  <si>
    <t>ALXN2220-ATTRCM-31</t>
  </si>
  <si>
    <t>Alexion</t>
  </si>
  <si>
    <t>$1,016,462</t>
  </si>
  <si>
    <t>$256,871.16</t>
  </si>
  <si>
    <t>MCD-013</t>
  </si>
  <si>
    <t>AG10-501 Act Early</t>
  </si>
  <si>
    <t>Eidos</t>
  </si>
  <si>
    <t>Set Up</t>
  </si>
  <si>
    <t>MCD-014</t>
  </si>
  <si>
    <t>AG10 - 504 OLE Act Early</t>
  </si>
  <si>
    <t>Negotiation</t>
  </si>
  <si>
    <t>MCD-015</t>
  </si>
  <si>
    <t>CY-6023</t>
  </si>
  <si>
    <t>$95,900.00</t>
  </si>
  <si>
    <t>MCD-016</t>
  </si>
  <si>
    <t>TEMPEST</t>
  </si>
  <si>
    <t>MCD-017</t>
  </si>
  <si>
    <t>AL01211-202</t>
  </si>
  <si>
    <t>Acelink</t>
  </si>
  <si>
    <t>Not Proceeding</t>
  </si>
  <si>
    <t>MCD-018</t>
  </si>
  <si>
    <t>ITL-2001-CL-999</t>
  </si>
  <si>
    <t>$252,380.00</t>
  </si>
  <si>
    <t>MCD-019</t>
  </si>
  <si>
    <t>iMODERN</t>
  </si>
  <si>
    <t>Radboud UMC</t>
  </si>
  <si>
    <t>MCD-020</t>
  </si>
  <si>
    <t>Budgetary quotation / proposal</t>
  </si>
  <si>
    <t xml:space="preserve">Attralus </t>
  </si>
  <si>
    <t>First Contact</t>
  </si>
  <si>
    <t>MCD-021</t>
  </si>
  <si>
    <t>Modern</t>
  </si>
  <si>
    <t>Chiesi</t>
  </si>
  <si>
    <t>MCD-022</t>
  </si>
  <si>
    <t>SAX ECV Re-analysis AT02-001/003</t>
  </si>
  <si>
    <t>Closed</t>
  </si>
  <si>
    <t>MCD-023</t>
  </si>
  <si>
    <t>Afortiori Development</t>
  </si>
  <si>
    <t>MCD-024</t>
  </si>
  <si>
    <t>SALVAGE_1</t>
  </si>
  <si>
    <t>University Hospital of Wales</t>
  </si>
  <si>
    <t>MCD-025</t>
  </si>
  <si>
    <t>ALXN2220-ATTRCM-31 CPEX study</t>
  </si>
  <si>
    <t>MCD-026</t>
  </si>
  <si>
    <t>TBC (Resistance to Thyroid Hormone Beta)</t>
  </si>
  <si>
    <t>Manchester University</t>
  </si>
  <si>
    <t>MCD-027</t>
  </si>
  <si>
    <t xml:space="preserve"> Circumferential strain of AT02-001/003</t>
  </si>
  <si>
    <t>MCD-028</t>
  </si>
  <si>
    <t>ITL-2001-CL-301 Chenies Mews</t>
  </si>
  <si>
    <t xml:space="preserve">Intellia </t>
  </si>
  <si>
    <t>Date</t>
  </si>
  <si>
    <t>Sanofi (MCD-001) CMR Forecast</t>
  </si>
  <si>
    <t>Sanofi (MCD-001) CMR Received</t>
  </si>
  <si>
    <t>Sanofi Echo (MCD-001) Forecast</t>
  </si>
  <si>
    <t>Sanofi Echo (MCD-001) Received</t>
  </si>
  <si>
    <t>British (MCD-002) Forecast</t>
  </si>
  <si>
    <t>British (MCD-002) Received</t>
  </si>
  <si>
    <t>Intellia Ph 1 (MCD-003) Forecast</t>
  </si>
  <si>
    <t>Intellia Ph 1 (MCD-003) Received</t>
  </si>
  <si>
    <t>Attralus (MCD-004) Forecast</t>
  </si>
  <si>
    <t>Attralus (MCD-004) Received</t>
  </si>
  <si>
    <t>Attralus OLE (MCD-005) Forecast</t>
  </si>
  <si>
    <t>Attralus OLE (MCD-005) Received</t>
  </si>
  <si>
    <t>Lexeo (MCD-006) Forecast</t>
  </si>
  <si>
    <t>Lexeo (MCD-006) Received</t>
  </si>
  <si>
    <t>Cyto 6033 (MCD-007) Forecast</t>
  </si>
  <si>
    <t>Cyto 6033 (MCD-007) Received</t>
  </si>
  <si>
    <t>Intellia Phase 3 (MCD-008) Forecast</t>
  </si>
  <si>
    <t>Intellia Phase 3 (MCD-008) Received</t>
  </si>
  <si>
    <t>IONIS (MCD-009) Forecast</t>
  </si>
  <si>
    <t>IONIS (MCD-009) Received</t>
  </si>
  <si>
    <t>MEHF (MCD-010) Forecast</t>
  </si>
  <si>
    <t>MEHF (MCD-010) Received</t>
  </si>
  <si>
    <t>Alexion (MCD-012) Forecast</t>
  </si>
  <si>
    <t>Alexion (MCD-012) Received</t>
  </si>
  <si>
    <t>Eidos (MCD-013) Forecast</t>
  </si>
  <si>
    <t>Eidos (MCD-013) Received</t>
  </si>
  <si>
    <t>Cyto 6023 (MCD-015) Forecast</t>
  </si>
  <si>
    <t>Cyto 6023 (MCD-015) Received</t>
  </si>
  <si>
    <t>Tempest (MCD-016) Forecast</t>
  </si>
  <si>
    <t>Tempest (MCD-016) Received</t>
  </si>
  <si>
    <t>Intellia LFTU (MCD-018) Forecast</t>
  </si>
  <si>
    <t>Intellia LFTU (MCD-018) Received</t>
  </si>
  <si>
    <t>iMODERN (MCD-019) Forecasted</t>
  </si>
  <si>
    <t>iMODERN (MCD-019) Received</t>
  </si>
  <si>
    <t>SALVAGE
 (MCD-024)
 Forecast</t>
  </si>
  <si>
    <t>SALVAGE
 (MCD-024) Received</t>
  </si>
  <si>
    <t>Total Forecast</t>
  </si>
  <si>
    <t>Total Received</t>
  </si>
  <si>
    <t>Proportion Analysed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</si>
</sst>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&quot;£&quot;#,##0;[Red]\-&quot;£&quot;#,##0"/>
    <numFmt numFmtId="165" formatCode="&quot;£&quot;#,##0.00;[Red]\-&quot;£&quot;#,##0.00"/>
    <numFmt numFmtId="166" formatCode="_-&quot;£&quot;* #,##0.00_-;\-&quot;£&quot;* #,##0.00_-;_-&quot;£&quot;* &quot;-&quot;??_-;_-@_-"/>
    <numFmt numFmtId="167" formatCode="[$$-409]#,##0.00"/>
    <numFmt numFmtId="168" formatCode="[$-409]d\-mmm\-yyyy;@"/>
    <numFmt numFmtId="169" formatCode="_-&quot;£&quot;* #,##0_-;\-&quot;£&quot;* #,##0_-;_-&quot;£&quot;* &quot;-&quot;??_-;_-@_-"/>
    <numFmt numFmtId="170" formatCode="[$$-409]#,##0"/>
    <numFmt numFmtId="171" formatCode="[$€-2]\ #,##0"/>
    <numFmt numFmtId="172" formatCode="&quot;$&quot;#,##0.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3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 wrapText="1"/>
    </xf>
    <xf numFmtId="17" fontId="0" fillId="3" borderId="1" xfId="0" applyNumberForma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5" fillId="6" borderId="2" xfId="0" applyFont="1" applyFill="1" applyBorder="1"/>
    <xf numFmtId="0" fontId="5" fillId="6" borderId="2" xfId="0" applyFont="1" applyFill="1" applyBorder="1" applyAlignment="1">
      <alignment horizontal="center" vertical="center" wrapText="1"/>
    </xf>
    <xf numFmtId="1" fontId="1" fillId="7" borderId="2" xfId="0" applyNumberFormat="1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168" fontId="5" fillId="4" borderId="2" xfId="0" applyNumberFormat="1" applyFont="1" applyFill="1" applyBorder="1"/>
    <xf numFmtId="1" fontId="4" fillId="4" borderId="2" xfId="0" applyNumberFormat="1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 wrapText="1"/>
    </xf>
    <xf numFmtId="1" fontId="4" fillId="8" borderId="2" xfId="0" applyNumberFormat="1" applyFont="1" applyFill="1" applyBorder="1" applyAlignment="1">
      <alignment horizontal="center" vertical="center" wrapText="1"/>
    </xf>
    <xf numFmtId="1" fontId="0" fillId="8" borderId="2" xfId="0" applyNumberFormat="1" applyFill="1" applyBorder="1" applyAlignment="1">
      <alignment horizontal="center" vertical="center"/>
    </xf>
    <xf numFmtId="1" fontId="0" fillId="8" borderId="5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0" fillId="4" borderId="6" xfId="0" applyNumberFormat="1" applyFill="1" applyBorder="1" applyAlignment="1">
      <alignment horizontal="center" vertical="center" wrapText="1"/>
    </xf>
    <xf numFmtId="1" fontId="6" fillId="0" borderId="2" xfId="0" quotePrefix="1" applyNumberFormat="1" applyFon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center" vertical="center"/>
    </xf>
    <xf numFmtId="1" fontId="4" fillId="8" borderId="2" xfId="0" applyNumberFormat="1" applyFont="1" applyFill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8" borderId="7" xfId="0" applyNumberFormat="1" applyFill="1" applyBorder="1" applyAlignment="1">
      <alignment horizontal="center" vertical="center"/>
    </xf>
    <xf numFmtId="168" fontId="5" fillId="4" borderId="8" xfId="0" applyNumberFormat="1" applyFont="1" applyFill="1" applyBorder="1"/>
    <xf numFmtId="1" fontId="4" fillId="4" borderId="8" xfId="0" applyNumberFormat="1" applyFont="1" applyFill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4" borderId="8" xfId="0" applyNumberFormat="1" applyFill="1" applyBorder="1" applyAlignment="1">
      <alignment horizontal="center" vertical="center" wrapText="1"/>
    </xf>
    <xf numFmtId="1" fontId="4" fillId="4" borderId="8" xfId="0" applyNumberFormat="1" applyFont="1" applyFill="1" applyBorder="1" applyAlignment="1">
      <alignment horizontal="center" vertical="center" wrapText="1"/>
    </xf>
    <xf numFmtId="1" fontId="4" fillId="8" borderId="8" xfId="0" applyNumberFormat="1" applyFont="1" applyFill="1" applyBorder="1" applyAlignment="1">
      <alignment horizontal="center" vertical="center" wrapText="1"/>
    </xf>
    <xf numFmtId="1" fontId="0" fillId="8" borderId="8" xfId="0" applyNumberFormat="1" applyFill="1" applyBorder="1" applyAlignment="1">
      <alignment horizontal="center" vertical="center"/>
    </xf>
    <xf numFmtId="1" fontId="0" fillId="8" borderId="9" xfId="0" applyNumberFormat="1" applyFill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8" borderId="10" xfId="0" applyNumberFormat="1" applyFill="1" applyBorder="1" applyAlignment="1">
      <alignment horizontal="center" vertical="center"/>
    </xf>
    <xf numFmtId="1" fontId="0" fillId="8" borderId="11" xfId="0" applyNumberFormat="1" applyFill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0" fontId="0" fillId="0" borderId="13" xfId="0" applyNumberFormat="1" applyBorder="1" applyAlignment="1">
      <alignment horizontal="center" vertical="center"/>
    </xf>
    <xf numFmtId="168" fontId="5" fillId="4" borderId="4" xfId="0" applyNumberFormat="1" applyFont="1" applyFill="1" applyBorder="1"/>
    <xf numFmtId="1" fontId="4" fillId="4" borderId="4" xfId="0" applyNumberFormat="1" applyFont="1" applyFill="1" applyBorder="1" applyAlignment="1">
      <alignment horizontal="center" vertical="center"/>
    </xf>
    <xf numFmtId="1" fontId="0" fillId="4" borderId="4" xfId="0" applyNumberFormat="1" applyFill="1" applyBorder="1" applyAlignment="1">
      <alignment horizontal="center" vertical="center" wrapText="1"/>
    </xf>
    <xf numFmtId="1" fontId="0" fillId="0" borderId="14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" fontId="4" fillId="4" borderId="4" xfId="0" applyNumberFormat="1" applyFont="1" applyFill="1" applyBorder="1" applyAlignment="1">
      <alignment horizontal="center" vertical="center" wrapText="1"/>
    </xf>
    <xf numFmtId="1" fontId="4" fillId="8" borderId="4" xfId="0" applyNumberFormat="1" applyFont="1" applyFill="1" applyBorder="1" applyAlignment="1">
      <alignment horizontal="center" vertical="center" wrapText="1"/>
    </xf>
    <xf numFmtId="1" fontId="0" fillId="8" borderId="4" xfId="0" applyNumberFormat="1" applyFill="1" applyBorder="1" applyAlignment="1">
      <alignment horizontal="center" vertical="center"/>
    </xf>
    <xf numFmtId="1" fontId="0" fillId="8" borderId="14" xfId="0" applyNumberForma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 wrapText="1"/>
    </xf>
    <xf numFmtId="1" fontId="0" fillId="8" borderId="16" xfId="0" applyNumberFormat="1" applyFill="1" applyBorder="1" applyAlignment="1">
      <alignment horizontal="center" vertical="center"/>
    </xf>
    <xf numFmtId="10" fontId="0" fillId="0" borderId="17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 wrapText="1"/>
    </xf>
    <xf numFmtId="1" fontId="0" fillId="8" borderId="1" xfId="0" applyNumberForma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4" fillId="8" borderId="5" xfId="0" applyNumberFormat="1" applyFont="1" applyFill="1" applyBorder="1" applyAlignment="1">
      <alignment horizontal="center" vertical="center"/>
    </xf>
    <xf numFmtId="1" fontId="4" fillId="10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>
      <alignment horizontal="center" vertical="center"/>
    </xf>
    <xf numFmtId="1" fontId="4" fillId="10" borderId="1" xfId="0" applyNumberFormat="1" applyFont="1" applyFill="1" applyBorder="1" applyAlignment="1">
      <alignment horizontal="center" vertical="center"/>
    </xf>
    <xf numFmtId="1" fontId="4" fillId="9" borderId="18" xfId="0" applyNumberFormat="1" applyFont="1" applyFill="1" applyBorder="1" applyAlignment="1">
      <alignment horizontal="center" vertical="center"/>
    </xf>
    <xf numFmtId="168" fontId="5" fillId="4" borderId="5" xfId="0" applyNumberFormat="1" applyFont="1" applyFill="1" applyBorder="1"/>
    <xf numFmtId="0" fontId="4" fillId="10" borderId="5" xfId="0" applyFont="1" applyFill="1" applyBorder="1" applyAlignment="1">
      <alignment horizontal="center" vertical="center"/>
    </xf>
    <xf numFmtId="1" fontId="0" fillId="4" borderId="5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" fontId="0" fillId="4" borderId="19" xfId="0" applyNumberFormat="1" applyFill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4" fillId="10" borderId="18" xfId="0" applyNumberFormat="1" applyFont="1" applyFill="1" applyBorder="1" applyAlignment="1">
      <alignment horizontal="center" vertical="center"/>
    </xf>
    <xf numFmtId="168" fontId="5" fillId="5" borderId="5" xfId="0" applyNumberFormat="1" applyFont="1" applyFill="1" applyBorder="1"/>
    <xf numFmtId="1" fontId="4" fillId="11" borderId="2" xfId="0" applyNumberFormat="1" applyFont="1" applyFill="1" applyBorder="1" applyAlignment="1">
      <alignment horizontal="center" vertical="center"/>
    </xf>
    <xf numFmtId="1" fontId="4" fillId="12" borderId="2" xfId="0" applyNumberFormat="1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1" fontId="0" fillId="5" borderId="5" xfId="0" applyNumberFormat="1" applyFill="1" applyBorder="1" applyAlignment="1">
      <alignment horizontal="center" vertical="center"/>
    </xf>
    <xf numFmtId="1" fontId="4" fillId="11" borderId="18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" fontId="4" fillId="11" borderId="3" xfId="0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4" fillId="12" borderId="3" xfId="0" applyNumberFormat="1" applyFont="1" applyFill="1" applyBorder="1" applyAlignment="1">
      <alignment horizontal="center" vertical="center"/>
    </xf>
    <xf numFmtId="1" fontId="4" fillId="9" borderId="3" xfId="0" applyNumberFormat="1" applyFont="1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1" fontId="4" fillId="11" borderId="7" xfId="0" applyNumberFormat="1" applyFont="1" applyFill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0" fillId="5" borderId="7" xfId="0" applyNumberFormat="1" applyFill="1" applyBorder="1" applyAlignment="1">
      <alignment horizontal="center" vertical="center"/>
    </xf>
    <xf numFmtId="1" fontId="4" fillId="11" borderId="21" xfId="0" applyNumberFormat="1" applyFont="1" applyFill="1" applyBorder="1" applyAlignment="1">
      <alignment horizontal="center" vertical="center"/>
    </xf>
    <xf numFmtId="10" fontId="0" fillId="0" borderId="20" xfId="0" applyNumberFormat="1" applyBorder="1" applyAlignment="1">
      <alignment horizontal="center" vertical="center"/>
    </xf>
    <xf numFmtId="168" fontId="5" fillId="5" borderId="9" xfId="0" applyNumberFormat="1" applyFont="1" applyFill="1" applyBorder="1"/>
    <xf numFmtId="1" fontId="4" fillId="11" borderId="8" xfId="0" applyNumberFormat="1" applyFont="1" applyFill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4" fillId="11" borderId="11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4" fillId="12" borderId="11" xfId="0" applyNumberFormat="1" applyFont="1" applyFill="1" applyBorder="1" applyAlignment="1">
      <alignment horizontal="center" vertical="center"/>
    </xf>
    <xf numFmtId="1" fontId="4" fillId="9" borderId="11" xfId="0" applyNumberFormat="1" applyFont="1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1" fontId="4" fillId="11" borderId="22" xfId="0" applyNumberFormat="1" applyFont="1" applyFill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5" borderId="24" xfId="0" applyNumberFormat="1" applyFill="1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1" fontId="4" fillId="11" borderId="24" xfId="0" applyNumberFormat="1" applyFont="1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8" fontId="5" fillId="5" borderId="16" xfId="0" applyNumberFormat="1" applyFont="1" applyFill="1" applyBorder="1"/>
    <xf numFmtId="0" fontId="0" fillId="5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0" fillId="5" borderId="17" xfId="0" applyNumberFormat="1" applyFill="1" applyBorder="1" applyAlignment="1">
      <alignment horizontal="center" vertical="center"/>
    </xf>
    <xf numFmtId="0" fontId="7" fillId="0" borderId="17" xfId="1" applyBorder="1" applyAlignment="1">
      <alignment horizontal="center" vertical="center"/>
    </xf>
    <xf numFmtId="1" fontId="4" fillId="11" borderId="14" xfId="0" applyNumberFormat="1" applyFont="1" applyFill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4" fillId="11" borderId="25" xfId="0" applyNumberFormat="1" applyFont="1" applyFill="1" applyBorder="1" applyAlignment="1">
      <alignment horizontal="center" vertical="center"/>
    </xf>
    <xf numFmtId="168" fontId="5" fillId="5" borderId="7" xfId="0" applyNumberFormat="1" applyFont="1" applyFill="1" applyBorder="1"/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7" fillId="0" borderId="1" xfId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7" fontId="0" fillId="8" borderId="1" xfId="0" applyNumberForma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4" fontId="8" fillId="2" borderId="1" xfId="0" applyNumberFormat="1" applyFont="1" applyFill="1" applyBorder="1" applyAlignment="1">
      <alignment horizontal="center" vertical="center" wrapText="1"/>
    </xf>
    <xf numFmtId="169" fontId="4" fillId="5" borderId="1" xfId="0" applyNumberFormat="1" applyFont="1" applyFill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3" fillId="0" borderId="1" xfId="0" applyNumberFormat="1" applyFont="1" applyBorder="1" applyAlignment="1">
      <alignment horizontal="center" vertical="center"/>
    </xf>
    <xf numFmtId="170" fontId="3" fillId="0" borderId="1" xfId="0" applyNumberFormat="1" applyFont="1" applyBorder="1" applyAlignment="1">
      <alignment horizontal="center" vertical="center" wrapText="1"/>
    </xf>
    <xf numFmtId="171" fontId="0" fillId="0" borderId="1" xfId="0" applyNumberFormat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7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customXml" Target="../customXml/item1.xml"/><Relationship Id="rId10" Type="http://schemas.openxmlformats.org/officeDocument/2006/relationships/externalLink" Target="externalLinks/externalLink7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cardiumailtd.sharepoint.com/sites/MycardiumAILtd-CoreLabDocuments/Shared%20Documents/Core%20Lab%20Documents/Projects_Active/Sanofi/MCD-001%20EFC16158/SN_MetaData/MCD-001%20EFC16158%20Scans%20Overview.xlsx" TargetMode="External"/><Relationship Id="rId1" Type="http://schemas.openxmlformats.org/officeDocument/2006/relationships/externalLinkPath" Target="/sites/MycardiumAILtd-CoreLabDocuments/Shared%20Documents/Core%20Lab%20Documents/Projects_Active/Sanofi/MCD-001%20EFC16158/SN_MetaData/MCD-001%20EFC16158%20Scans%20Overview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cardiumailtd.sharepoint.com/sites/MycardiumAILtd-CoreLabDocuments/Shared%20Documents/Core%20Lab%20Documents/Projects_Active/BRITISH/MCD-002%20BRITISH/BR_MetaData/BRITISH%20Scans%20Overview%20.xlsx" TargetMode="External"/><Relationship Id="rId1" Type="http://schemas.openxmlformats.org/officeDocument/2006/relationships/externalLinkPath" Target="/sites/MycardiumAILtd-CoreLabDocuments/Shared%20Documents/Core%20Lab%20Documents/Projects_Active/BRITISH/MCD-002%20BRITISH/BR_MetaData/BRITISH%20Scans%20Overview%2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cardiumailtd.sharepoint.com/sites/MycardiumAILtd-CoreLabDocuments/Shared%20Documents/Core%20Lab%20Documents/Projects_Active/Attralus/MCD-004%20AT-02-001/AT02_MetaData/MCD-004%20AT-02-001%20Attralus%20Scan%20Tracker.xlsx" TargetMode="External"/><Relationship Id="rId1" Type="http://schemas.openxmlformats.org/officeDocument/2006/relationships/externalLinkPath" Target="/sites/MycardiumAILtd-CoreLabDocuments/Shared%20Documents/Core%20Lab%20Documents/Projects_Active/Attralus/MCD-004%20AT-02-001/AT02_MetaData/MCD-004%20AT-02-001%20Attralus%20Scan%20Tracker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ycardiumailtd.sharepoint.com/sites/MycardiumAILtd-CoreLabDocuments/Shared%20Documents/Core%20Lab%20Documents/Projects_Active/Attralus/MCD-005%20AT-02-003%20OLE/AT_MetaData%20OLE/MCD-005%20AT-02-003%20Attralus%20OLE%20Scan%20Tracker.xlsx" TargetMode="External"/><Relationship Id="rId2" Type="http://schemas.microsoft.com/office/2019/04/relationships/externalLinkLongPath" Target="/sites/MycardiumAILtd-CoreLabDocuments/Shared%20Documents/Core%20Lab%20Documents/Projects_Active/Attralus/MCD-005%20AT-02-003%20OLE/AT_MetaData%20OLE/MCD-005%20AT-02-003%20Attralus%20OLE%20Scan%20Tracker.xlsx?21061A9A" TargetMode="External"/><Relationship Id="rId1" Type="http://schemas.openxmlformats.org/officeDocument/2006/relationships/externalLinkPath" Target="file:///\\21061A9A\MCD-005%20AT-02-003%20Attralus%20OLE%20Scan%20Tracke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cardiumailtd.sharepoint.com/sites/MycardiumAILtd-CoreLabDocuments/Shared%20Documents/Core%20Lab%20Documents/Projects_Active/Intellia/MCD-003%20Phase%201%20NTLA-2001/Study_MetaData/MCD-003%20INT-001%20Scans%20Overview.xlsx" TargetMode="External"/><Relationship Id="rId1" Type="http://schemas.openxmlformats.org/officeDocument/2006/relationships/externalLinkPath" Target="/sites/MycardiumAILtd-CoreLabDocuments/Shared%20Documents/Core%20Lab%20Documents/Projects_Active/Intellia/MCD-003%20Phase%201%20NTLA-2001/Study_MetaData/MCD-003%20INT-001%20Scans%20Overview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ycardiumailtd.sharepoint.com/sites/MycardiumAILtd-CoreLabDocuments/Shared%20Documents/Core%20Lab%20Documents/Projects_Active/Manchester%20Foundation%20Trust/MCD-010%20MFT%20Early-HF-01/EHF_MetaData/MCD-010%20Study%20Scans%20Overview.xlsx" TargetMode="External"/><Relationship Id="rId2" Type="http://schemas.microsoft.com/office/2019/04/relationships/externalLinkLongPath" Target="/sites/MycardiumAILtd-CoreLabDocuments/Shared%20Documents/Core%20Lab%20Documents/Projects_Active/Manchester%20Foundation%20Trust/MCD-010%20MFT%20Early-HF-01/EHF_MetaData/MCD-010%20Study%20Scans%20Overview.xlsx?9879F441" TargetMode="External"/><Relationship Id="rId1" Type="http://schemas.openxmlformats.org/officeDocument/2006/relationships/externalLinkPath" Target="file:///\\9879F441\MCD-010%20Study%20Scans%20Overview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ycardiumailtd.sharepoint.com/sites/MycardiumAILtd-CoreLabDocuments/Shared%20Documents/Core%20Lab%20Documents/Projects_Active/Manchester%20Foundation%20Trust/MCD-016%20TEMPEST%20AI%20Manchester/TP_MetaData/MCD-016%20Study%20Scans%20Overview.xlsx" TargetMode="External"/><Relationship Id="rId2" Type="http://schemas.microsoft.com/office/2019/04/relationships/externalLinkLongPath" Target="/sites/MycardiumAILtd-CoreLabDocuments/Shared%20Documents/Core%20Lab%20Documents/Projects_Active/Manchester%20Foundation%20Trust/MCD-016%20TEMPEST%20AI%20Manchester/TP_MetaData/MCD-016%20Study%20Scans%20Overview.xlsx?80C04F89" TargetMode="External"/><Relationship Id="rId1" Type="http://schemas.openxmlformats.org/officeDocument/2006/relationships/externalLinkPath" Target="file:///\\80C04F89\MCD-016%20Study%20Scans%20Overview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cardiumailtd.sharepoint.com/sites/MycardiumAILtd-CoreLabDocuments/Shared%20Documents/Core%20Lab%20Documents/Projects_Active/Cytokinetics%20HCM/MCD-007%20CY-6033/CY_MetaData/CY6033%20Scans%20Overview.xlsx" TargetMode="External"/><Relationship Id="rId1" Type="http://schemas.openxmlformats.org/officeDocument/2006/relationships/externalLinkPath" Target="/sites/MycardiumAILtd-CoreLabDocuments/Shared%20Documents/Core%20Lab%20Documents/Projects_Active/Cytokinetics%20HCM/MCD-007%20CY-6033/CY_MetaData/CY6033%20Scans%20Overview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cardiumailtd.sharepoint.com/sites/MycardiumAILtd-CoreLabDocuments/Shared%20Documents/Core%20Lab%20Documents/Projects_Active/Alexion/MCD-012%20ALXN2220-ATTRCM-301/ALX_MetaData/MCD-012%20ALXN2220%20Scan%20Tracker.xlsx" TargetMode="External"/><Relationship Id="rId1" Type="http://schemas.openxmlformats.org/officeDocument/2006/relationships/externalLinkPath" Target="/sites/MycardiumAILtd-CoreLabDocuments/Shared%20Documents/Core%20Lab%20Documents/Projects_Active/Alexion/MCD-012%20ALXN2220-ATTRCM-301/ALX_MetaData/MCD-012%20ALXN2220%20Scan%20Tracker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cardiumailtd.sharepoint.com/sites/MycardiumAILtd-CoreLabDocuments/Shared%20Documents/Core%20Lab%20Documents/Projects_Active/Lexeo/MCD-006%20LX2020-01/LX2020_MetaData/MCD-006%20LX2020-01%20Scan%20Tracker.xlsx" TargetMode="External"/><Relationship Id="rId1" Type="http://schemas.openxmlformats.org/officeDocument/2006/relationships/externalLinkPath" Target="/sites/MycardiumAILtd-CoreLabDocuments/Shared%20Documents/Core%20Lab%20Documents/Projects_Active/Lexeo/MCD-006%20LX2020-01/LX2020_MetaData/MCD-006%20LX2020-01%20Scan%20Tracke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cardiumailtd.sharepoint.com/sites/MycardiumAILtd-CoreLabDocuments/Shared%20Documents/Core%20Lab%20Documents/Projects_Active/Intellia/MCD-008%20ITL-2001-CL-301/IT_MetaData/ITL-2001-CL-301%20Scan%20Tracker.xlsx" TargetMode="External"/><Relationship Id="rId1" Type="http://schemas.openxmlformats.org/officeDocument/2006/relationships/externalLinkPath" Target="/sites/MycardiumAILtd-CoreLabDocuments/Shared%20Documents/Core%20Lab%20Documents/Projects_Active/Intellia/MCD-008%20ITL-2001-CL-301/IT_MetaData/ITL-2001-CL-301%20Scan%20Tracker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ycardiumailtd.sharepoint.com/sites/MycardiumAILtd-CoreLabDocuments/Shared%20Documents/Core%20Lab%20Documents/Projects_Active/Intellia/MCD-018%20ITL-2001-CL-999/ITL_LTFU_MetaData/MCD-018%20ITL-2001-CL-999%20Scan%20Tracker.xlsx" TargetMode="External"/><Relationship Id="rId2" Type="http://schemas.microsoft.com/office/2019/04/relationships/externalLinkLongPath" Target="/sites/MycardiumAILtd-CoreLabDocuments/Shared%20Documents/Core%20Lab%20Documents/Projects_Active/Intellia/MCD-018%20ITL-2001-CL-999/ITL_LTFU_MetaData/MCD-018%20ITL-2001-CL-999%20Scan%20Tracker.xlsx?C7A64AB7" TargetMode="External"/><Relationship Id="rId1" Type="http://schemas.openxmlformats.org/officeDocument/2006/relationships/externalLinkPath" Target="file:///\\C7A64AB7\MCD-018%20ITL-2001-CL-999%20Scan%20Tracker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ycardiumailtd.sharepoint.com/sites/MycardiumAILtd-CoreLabDocuments/Shared%20Documents/Core%20Lab%20Documents/Projects_Active/Ionis-Cardio-TTRansform/MCD-009%20ION-682884-CS2/ION_MetaData/MCD-009%20Ionis%20Scan%20Tracker.xlsx" TargetMode="External"/><Relationship Id="rId2" Type="http://schemas.microsoft.com/office/2019/04/relationships/externalLinkLongPath" Target="/sites/MycardiumAILtd-CoreLabDocuments/Shared%20Documents/Core%20Lab%20Documents/Projects_Active/Ionis-Cardio-TTRansform/MCD-009%20ION-682884-CS2/ION_MetaData/MCD-009%20Ionis%20Scan%20Tracker.xlsx?FC5EE03F" TargetMode="External"/><Relationship Id="rId1" Type="http://schemas.openxmlformats.org/officeDocument/2006/relationships/externalLinkPath" Target="file:///\\FC5EE03F\MCD-009%20Ionis%20Scan%20Tracker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cardiumailtd.sharepoint.com/sites/MycardiumAILtd-CoreLabDocuments/Shared%20Documents/Core%20Lab%20Documents/Projects_Active/Cytokinetics%20HCM/MCD-015%20CY-6023/CY6023_MetaData/MCD-015%20CY6023%20Scan%20Tracker.xlsx" TargetMode="External"/><Relationship Id="rId1" Type="http://schemas.openxmlformats.org/officeDocument/2006/relationships/externalLinkPath" Target="/sites/MycardiumAILtd-CoreLabDocuments/Shared%20Documents/Core%20Lab%20Documents/Projects_Active/Cytokinetics%20HCM/MCD-015%20CY-6023/CY6023_MetaData/MCD-015%20CY6023%20Scan%20Tracker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cardiumailtd.sharepoint.com/sites/MycardiumAILtd-CoreLabDocuments/Shared%20Documents/Core%20Lab%20Documents/Projects_Active/Afortiori/MCD-024%20SALVAGE/SALVAGE_MetaData/MCD-024%20SALVAGE%20Scan%20Tracker%2013Sep2024.xlsx" TargetMode="External"/><Relationship Id="rId1" Type="http://schemas.openxmlformats.org/officeDocument/2006/relationships/externalLinkPath" Target="/sites/MycardiumAILtd-CoreLabDocuments/Shared%20Documents/Core%20Lab%20Documents/Projects_Active/Afortiori/MCD-024%20SALVAGE/SALVAGE_MetaData/MCD-024%20SALVAGE%20Scan%20Tracker%2013Sep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Pzc6JD2PsEWwkHdBgNErnGwBBMxjRCpEiVGsjAHdOaj-Q37w5S3CSIFwISiIOqoi" itemId="01XKVKMPWE2KXJR6E5DFCYYRDBJSLFSSB3">
      <xxl21:absoluteUrl r:id="rId2"/>
    </xxl21:alternateUrls>
    <sheetNames>
      <sheetName val="Sheet1"/>
      <sheetName val="Codes"/>
      <sheetName val="All Scans"/>
    </sheetNames>
    <sheetDataSet>
      <sheetData sheetId="0"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64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1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2</v>
          </cell>
        </row>
        <row r="34">
          <cell r="D34">
            <v>1</v>
          </cell>
        </row>
        <row r="35">
          <cell r="D35">
            <v>0</v>
          </cell>
        </row>
        <row r="36">
          <cell r="D36">
            <v>0</v>
          </cell>
        </row>
        <row r="37">
          <cell r="D37">
            <v>108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Pzc6JD2PsEWwkHdBgNErnGwBBMxjRCpEiVGsjAHdOaj-Q37w5S3CSIFwISiIOqoi" itemId="01XKVKMPTIP4454ZI7X5GIPNV655DDBFUB">
      <xxl21:absoluteUrl r:id="rId2"/>
    </xxl21:alternateUrls>
    <sheetNames>
      <sheetName val="Index"/>
      <sheetName val="Site codes"/>
      <sheetName val="User Access"/>
      <sheetName val="Mar2024"/>
      <sheetName val="Sep2024"/>
      <sheetName val="Dec2024"/>
      <sheetName val="Mar2025"/>
    </sheetNames>
    <sheetDataSet>
      <sheetData sheetId="0">
        <row r="5">
          <cell r="H5">
            <v>4</v>
          </cell>
        </row>
        <row r="6">
          <cell r="H6">
            <v>4</v>
          </cell>
        </row>
        <row r="7">
          <cell r="H7">
            <v>2</v>
          </cell>
        </row>
        <row r="8">
          <cell r="H8">
            <v>3</v>
          </cell>
        </row>
        <row r="9">
          <cell r="H9">
            <v>10</v>
          </cell>
        </row>
        <row r="10">
          <cell r="H10">
            <v>6</v>
          </cell>
        </row>
        <row r="11">
          <cell r="H11">
            <v>20</v>
          </cell>
        </row>
        <row r="12">
          <cell r="H12">
            <v>9</v>
          </cell>
        </row>
        <row r="13">
          <cell r="H13">
            <v>6</v>
          </cell>
        </row>
        <row r="14">
          <cell r="H14">
            <v>26</v>
          </cell>
        </row>
        <row r="15">
          <cell r="H15">
            <v>31</v>
          </cell>
        </row>
        <row r="16">
          <cell r="H16">
            <v>33</v>
          </cell>
        </row>
        <row r="17">
          <cell r="H17">
            <v>22</v>
          </cell>
        </row>
        <row r="18">
          <cell r="H18">
            <v>15</v>
          </cell>
        </row>
        <row r="19">
          <cell r="H19">
            <v>28</v>
          </cell>
        </row>
        <row r="20">
          <cell r="H20">
            <v>22</v>
          </cell>
        </row>
        <row r="21">
          <cell r="H21">
            <v>15</v>
          </cell>
        </row>
        <row r="22">
          <cell r="H22">
            <v>8</v>
          </cell>
        </row>
        <row r="23">
          <cell r="H23">
            <v>0</v>
          </cell>
        </row>
        <row r="24">
          <cell r="H24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Pzc6JD2PsEWwkHdBgNErnGwBBMxjRCpEiVGsjAHdOaj-Q37w5S3CSIFwISiIOqoi" itemId="01XKVKMPRIUOCC72TS6JA2E2XGEZVHJYAB">
      <xxl21:absoluteUrl r:id="rId2"/>
    </xxl21:alternateUrls>
    <sheetNames>
      <sheetName val="Summary"/>
      <sheetName val="Scan Overview"/>
      <sheetName val="Scan QC"/>
      <sheetName val="Test Scans"/>
    </sheetNames>
    <sheetDataSet>
      <sheetData sheetId="0">
        <row r="5">
          <cell r="C5">
            <v>1</v>
          </cell>
        </row>
        <row r="6">
          <cell r="C6">
            <v>8</v>
          </cell>
        </row>
        <row r="7">
          <cell r="C7">
            <v>7</v>
          </cell>
        </row>
        <row r="8">
          <cell r="C8">
            <v>5</v>
          </cell>
        </row>
        <row r="9">
          <cell r="C9">
            <v>13</v>
          </cell>
        </row>
        <row r="10">
          <cell r="C10">
            <v>5</v>
          </cell>
        </row>
        <row r="11">
          <cell r="C11">
            <v>8</v>
          </cell>
        </row>
        <row r="12">
          <cell r="C12">
            <v>3</v>
          </cell>
        </row>
        <row r="13">
          <cell r="C13">
            <v>14</v>
          </cell>
        </row>
        <row r="14">
          <cell r="C14">
            <v>17</v>
          </cell>
        </row>
        <row r="15">
          <cell r="C15">
            <v>14</v>
          </cell>
        </row>
        <row r="16">
          <cell r="C16">
            <v>17</v>
          </cell>
        </row>
        <row r="17">
          <cell r="C17">
            <v>15</v>
          </cell>
        </row>
        <row r="18">
          <cell r="C18">
            <v>1</v>
          </cell>
        </row>
        <row r="19">
          <cell r="C19">
            <v>5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Pzc6JD2PsEWwkHdBgNErnGwBBMxjRCpEiVGsjAHdOaj-Q37w5S3CSIFwISiIOqoi" itemId="01XKVKMPT3OB3SOI5EWBC3VGJI536UJJYF">
      <xxl21:absoluteUrl r:id="rId3"/>
    </xxl21:alternateUrls>
    <sheetNames>
      <sheetName val="Summary"/>
      <sheetName val="Scans Overview"/>
      <sheetName val="Scan QC"/>
    </sheetNames>
    <sheetDataSet>
      <sheetData sheetId="0">
        <row r="5">
          <cell r="C5">
            <v>3</v>
          </cell>
        </row>
        <row r="6">
          <cell r="C6">
            <v>7</v>
          </cell>
        </row>
        <row r="7">
          <cell r="C7">
            <v>4</v>
          </cell>
        </row>
        <row r="8">
          <cell r="C8">
            <v>3</v>
          </cell>
        </row>
        <row r="9">
          <cell r="C9">
            <v>12</v>
          </cell>
        </row>
        <row r="10">
          <cell r="C10">
            <v>8</v>
          </cell>
        </row>
        <row r="11">
          <cell r="C11">
            <v>5</v>
          </cell>
        </row>
        <row r="12">
          <cell r="C12">
            <v>15</v>
          </cell>
        </row>
        <row r="13">
          <cell r="C13">
            <v>3</v>
          </cell>
        </row>
        <row r="14">
          <cell r="C14">
            <v>7</v>
          </cell>
        </row>
        <row r="15">
          <cell r="C15">
            <v>9</v>
          </cell>
        </row>
        <row r="16">
          <cell r="C16">
            <v>13</v>
          </cell>
        </row>
        <row r="17">
          <cell r="C17">
            <v>5</v>
          </cell>
        </row>
        <row r="18">
          <cell r="C18">
            <v>0</v>
          </cell>
        </row>
        <row r="19">
          <cell r="C19">
            <v>0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Pzc6JD2PsEWwkHdBgNErnGwBBMxjRCpEiVGsjAHdOaj-Q37w5S3CSIFwISiIOqoi" itemId="01XKVKMPQJCP53TQHXN5DLHAZ5CP26I3BO">
      <xxl21:absoluteUrl r:id="rId2"/>
    </xxl21:alternateUrls>
    <sheetNames>
      <sheetName val="Sheet1"/>
      <sheetName val="Jul-23"/>
      <sheetName val="Jan-Apr24"/>
      <sheetName val="Sep-Nov24"/>
    </sheetNames>
    <sheetDataSet>
      <sheetData sheetId="0">
        <row r="6">
          <cell r="H6">
            <v>48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51</v>
          </cell>
        </row>
      </sheetData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Pzc6JD2PsEWwkHdBgNErnGwBBMxjRCpEiVGsjAHdOaj-Q37w5S3CSIFwISiIOqoi" itemId="01XKVKMPTSXI3YFPDYX5CYZM6RBGNKA7B7">
      <xxl21:absoluteUrl r:id="rId3"/>
    </xxl21:alternateUrls>
    <sheetNames>
      <sheetName val="Summary"/>
      <sheetName val="Scan Overview"/>
    </sheetNames>
    <sheetDataSet>
      <sheetData sheetId="0">
        <row r="5">
          <cell r="C5">
            <v>68</v>
          </cell>
        </row>
        <row r="6">
          <cell r="C6">
            <v>24</v>
          </cell>
        </row>
        <row r="7">
          <cell r="C7">
            <v>30</v>
          </cell>
        </row>
        <row r="8">
          <cell r="C8">
            <v>32</v>
          </cell>
        </row>
        <row r="9">
          <cell r="C9">
            <v>6</v>
          </cell>
        </row>
        <row r="10">
          <cell r="C10">
            <v>20</v>
          </cell>
        </row>
        <row r="11">
          <cell r="C11">
            <v>35</v>
          </cell>
        </row>
        <row r="12">
          <cell r="C12">
            <v>16</v>
          </cell>
        </row>
        <row r="13">
          <cell r="C13">
            <v>31</v>
          </cell>
        </row>
        <row r="14">
          <cell r="C14">
            <v>3</v>
          </cell>
        </row>
        <row r="15">
          <cell r="C15">
            <v>0</v>
          </cell>
        </row>
        <row r="16">
          <cell r="C16">
            <v>0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Pzc6JD2PsEWwkHdBgNErnGwBBMxjRCpEiVGsjAHdOaj-Q37w5S3CSIFwISiIOqoi" itemId="01XKVKMPQCF37FEYTFY5AYTKX7MBUO36N2">
      <xxl21:absoluteUrl r:id="rId3"/>
    </xxl21:alternateUrls>
    <sheetNames>
      <sheetName val="Index"/>
      <sheetName val="MFT"/>
    </sheetNames>
    <sheetDataSet>
      <sheetData sheetId="0">
        <row r="5">
          <cell r="G5">
            <v>162</v>
          </cell>
        </row>
        <row r="6">
          <cell r="G6">
            <v>124</v>
          </cell>
        </row>
        <row r="7">
          <cell r="G7">
            <v>4</v>
          </cell>
        </row>
        <row r="8">
          <cell r="G8">
            <v>0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Pzc6JD2PsEWwkHdBgNErnGwBBMxjRCpEiVGsjAHdOaj-Q37w5S3CSIFwISiIOqoi" itemId="01XKVKMPWNLGB3VWNTRJG2VHLVRMESGZE6">
      <xxl21:absoluteUrl r:id="rId2"/>
    </xxl21:alternateUrls>
    <sheetNames>
      <sheetName val="Key"/>
      <sheetName val="Scans list"/>
      <sheetName val="Scans Forecast"/>
    </sheetNames>
    <sheetDataSet>
      <sheetData sheetId="0"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8</v>
          </cell>
          <cell r="D16">
            <v>1</v>
          </cell>
        </row>
        <row r="17">
          <cell r="D17">
            <v>1</v>
          </cell>
        </row>
        <row r="18">
          <cell r="D18">
            <v>1</v>
          </cell>
        </row>
        <row r="19">
          <cell r="D19">
            <v>0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Scan Overview"/>
    </sheetNames>
    <sheetDataSet>
      <sheetData sheetId="0">
        <row r="5">
          <cell r="C5">
            <v>1</v>
          </cell>
        </row>
        <row r="6">
          <cell r="C6">
            <v>3</v>
          </cell>
        </row>
        <row r="7">
          <cell r="C7">
            <v>2</v>
          </cell>
        </row>
        <row r="8">
          <cell r="C8">
            <v>10</v>
          </cell>
        </row>
        <row r="9">
          <cell r="C9">
            <v>3</v>
          </cell>
        </row>
        <row r="10">
          <cell r="C10">
            <v>0</v>
          </cell>
        </row>
        <row r="11">
          <cell r="C11">
            <v>1</v>
          </cell>
        </row>
        <row r="12">
          <cell r="C12">
            <v>0</v>
          </cell>
        </row>
        <row r="13">
          <cell r="C13">
            <v>0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Scan Overview"/>
      <sheetName val="Forecasted"/>
    </sheetNames>
    <sheetDataSet>
      <sheetData sheetId="0">
        <row r="5">
          <cell r="C5">
            <v>1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1</v>
          </cell>
        </row>
        <row r="9">
          <cell r="C9">
            <v>1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Scan Overview"/>
      <sheetName val="Forecasted"/>
    </sheetNames>
    <sheetDataSet>
      <sheetData sheetId="0"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2</v>
          </cell>
        </row>
        <row r="9">
          <cell r="C9">
            <v>13</v>
          </cell>
        </row>
        <row r="10">
          <cell r="C10">
            <v>2</v>
          </cell>
        </row>
        <row r="11">
          <cell r="C11">
            <v>0</v>
          </cell>
        </row>
        <row r="12">
          <cell r="C12">
            <v>0</v>
          </cell>
        </row>
      </sheetData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eet1"/>
      <sheetName val="Scan Overview"/>
      <sheetName val="Summary"/>
      <sheetName val="Forecasted Scans"/>
    </sheetNames>
    <sheetDataSet>
      <sheetData sheetId="0"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</sheetData>
      <sheetData sheetId="1"/>
      <sheetData sheetId="2"/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eet1"/>
      <sheetName val="Scan Overview"/>
      <sheetName val="Summary"/>
      <sheetName val="Forecasted Scans"/>
    </sheetNames>
    <sheetDataSet>
      <sheetData sheetId="0"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</sheetData>
      <sheetData sheetId="1"/>
      <sheetData sheetId="2"/>
      <sheetData sheetId="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can Overview"/>
      <sheetName val="Summary"/>
      <sheetName val="Forecasted Scans"/>
    </sheetNames>
    <sheetDataSet>
      <sheetData sheetId="0"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</sheetData>
      <sheetData sheetId="1"/>
      <sheetData sheetId="2"/>
      <sheetData sheetId="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can Overview"/>
      <sheetName val="Summary"/>
      <sheetName val="Forecasted Scans"/>
    </sheetNames>
    <sheetDataSet>
      <sheetData sheetId="0"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topLeftCell="A16" workbookViewId="0">
      <selection activeCell="G30" sqref="G30:H30"/>
    </sheetView>
  </sheetViews>
  <sheetFormatPr defaultRowHeight="14.45"/>
  <cols>
    <col min="1" max="1" width="17" customWidth="1"/>
    <col min="2" max="2" width="18.28515625" customWidth="1"/>
    <col min="3" max="3" width="16.42578125" customWidth="1"/>
    <col min="4" max="4" width="19" customWidth="1"/>
    <col min="5" max="5" width="18.140625" customWidth="1"/>
    <col min="6" max="6" width="16.7109375" customWidth="1"/>
    <col min="7" max="7" width="19.42578125" customWidth="1"/>
    <col min="8" max="8" width="15.42578125" customWidth="1"/>
    <col min="9" max="9" width="14.85546875" customWidth="1"/>
  </cols>
  <sheetData>
    <row r="1" spans="1:8" ht="31.15">
      <c r="A1" s="130" t="s">
        <v>0</v>
      </c>
      <c r="B1" s="130" t="s">
        <v>1</v>
      </c>
      <c r="C1" s="130" t="s">
        <v>2</v>
      </c>
      <c r="D1" s="130" t="s">
        <v>3</v>
      </c>
      <c r="E1" s="130" t="s">
        <v>4</v>
      </c>
      <c r="F1" s="130" t="s">
        <v>5</v>
      </c>
      <c r="G1" s="131" t="s">
        <v>6</v>
      </c>
      <c r="H1" s="131" t="s">
        <v>7</v>
      </c>
    </row>
    <row r="2" spans="1:8">
      <c r="A2" s="1" t="s">
        <v>8</v>
      </c>
      <c r="B2" s="1" t="s">
        <v>9</v>
      </c>
      <c r="C2" s="1" t="s">
        <v>10</v>
      </c>
      <c r="D2" s="4">
        <v>45261</v>
      </c>
      <c r="E2" s="1" t="s">
        <v>11</v>
      </c>
      <c r="F2" s="1">
        <v>540</v>
      </c>
      <c r="G2" s="143">
        <v>519760</v>
      </c>
      <c r="H2" s="6">
        <v>123000</v>
      </c>
    </row>
    <row r="3" spans="1:8" ht="28.9">
      <c r="A3" s="1" t="s">
        <v>12</v>
      </c>
      <c r="B3" s="1" t="s">
        <v>13</v>
      </c>
      <c r="C3" s="1" t="s">
        <v>14</v>
      </c>
      <c r="D3" s="4">
        <v>44965</v>
      </c>
      <c r="E3" s="1" t="s">
        <v>11</v>
      </c>
      <c r="F3" s="1">
        <v>2504</v>
      </c>
      <c r="G3" s="143">
        <v>80294</v>
      </c>
      <c r="H3" s="132">
        <v>80294</v>
      </c>
    </row>
    <row r="4" spans="1:8">
      <c r="A4" s="1" t="s">
        <v>15</v>
      </c>
      <c r="B4" s="1" t="s">
        <v>16</v>
      </c>
      <c r="C4" s="1" t="s">
        <v>17</v>
      </c>
      <c r="D4" s="4">
        <v>44953</v>
      </c>
      <c r="E4" s="1" t="s">
        <v>11</v>
      </c>
      <c r="F4" s="1">
        <v>297</v>
      </c>
      <c r="G4" s="143" t="s">
        <v>18</v>
      </c>
      <c r="H4" s="133">
        <v>164801</v>
      </c>
    </row>
    <row r="5" spans="1:8">
      <c r="A5" s="1" t="s">
        <v>19</v>
      </c>
      <c r="B5" s="1" t="s">
        <v>20</v>
      </c>
      <c r="C5" s="1" t="s">
        <v>21</v>
      </c>
      <c r="D5" s="4">
        <v>44986</v>
      </c>
      <c r="E5" s="1" t="s">
        <v>11</v>
      </c>
      <c r="F5" s="1">
        <v>194</v>
      </c>
      <c r="G5" s="143">
        <v>206600</v>
      </c>
      <c r="H5" s="133">
        <v>231809</v>
      </c>
    </row>
    <row r="6" spans="1:8">
      <c r="A6" s="1" t="s">
        <v>22</v>
      </c>
      <c r="B6" s="1" t="s">
        <v>23</v>
      </c>
      <c r="C6" s="1" t="s">
        <v>21</v>
      </c>
      <c r="D6" s="4">
        <v>45147</v>
      </c>
      <c r="E6" s="1" t="s">
        <v>11</v>
      </c>
      <c r="F6" s="1">
        <v>972</v>
      </c>
      <c r="G6" s="143">
        <v>650000</v>
      </c>
      <c r="H6" s="133">
        <v>95757</v>
      </c>
    </row>
    <row r="7" spans="1:8">
      <c r="A7" s="1" t="s">
        <v>24</v>
      </c>
      <c r="B7" s="1" t="s">
        <v>25</v>
      </c>
      <c r="C7" s="1" t="s">
        <v>26</v>
      </c>
      <c r="D7" s="4">
        <v>45162</v>
      </c>
      <c r="E7" s="1" t="s">
        <v>11</v>
      </c>
      <c r="F7" s="1">
        <v>30</v>
      </c>
      <c r="G7" s="143">
        <v>150000</v>
      </c>
      <c r="H7" s="133">
        <v>54100</v>
      </c>
    </row>
    <row r="8" spans="1:8">
      <c r="A8" s="1" t="s">
        <v>27</v>
      </c>
      <c r="B8" s="1" t="s">
        <v>28</v>
      </c>
      <c r="C8" s="1" t="s">
        <v>29</v>
      </c>
      <c r="D8" s="4">
        <v>45086</v>
      </c>
      <c r="E8" s="1" t="s">
        <v>11</v>
      </c>
      <c r="F8" s="1">
        <v>300</v>
      </c>
      <c r="G8" s="143" t="s">
        <v>30</v>
      </c>
      <c r="H8" s="7" t="s">
        <v>31</v>
      </c>
    </row>
    <row r="9" spans="1:8">
      <c r="A9" s="1" t="s">
        <v>32</v>
      </c>
      <c r="B9" s="1" t="s">
        <v>33</v>
      </c>
      <c r="C9" s="1" t="s">
        <v>17</v>
      </c>
      <c r="D9" s="4">
        <v>45065</v>
      </c>
      <c r="E9" s="1" t="s">
        <v>11</v>
      </c>
      <c r="F9" s="1">
        <v>500</v>
      </c>
      <c r="G9" s="143" t="s">
        <v>34</v>
      </c>
      <c r="H9" s="7" t="s">
        <v>35</v>
      </c>
    </row>
    <row r="10" spans="1:8">
      <c r="A10" s="1" t="s">
        <v>36</v>
      </c>
      <c r="B10" s="1" t="s">
        <v>37</v>
      </c>
      <c r="C10" s="1" t="s">
        <v>38</v>
      </c>
      <c r="D10" s="4">
        <v>45217</v>
      </c>
      <c r="E10" s="1" t="s">
        <v>39</v>
      </c>
      <c r="F10" s="1">
        <v>1000</v>
      </c>
      <c r="G10" s="143">
        <v>700000</v>
      </c>
      <c r="H10" s="134">
        <v>89792</v>
      </c>
    </row>
    <row r="11" spans="1:8" ht="28.9">
      <c r="A11" s="1" t="s">
        <v>40</v>
      </c>
      <c r="B11" s="1" t="s">
        <v>41</v>
      </c>
      <c r="C11" s="1" t="s">
        <v>42</v>
      </c>
      <c r="D11" s="4">
        <v>45231</v>
      </c>
      <c r="E11" s="1" t="s">
        <v>11</v>
      </c>
      <c r="F11" s="1">
        <v>600</v>
      </c>
      <c r="G11" s="143">
        <v>50000</v>
      </c>
      <c r="H11" s="135">
        <v>25000</v>
      </c>
    </row>
    <row r="12" spans="1:8">
      <c r="A12" s="128" t="s">
        <v>43</v>
      </c>
      <c r="B12" s="128" t="s">
        <v>44</v>
      </c>
      <c r="C12" s="128" t="s">
        <v>45</v>
      </c>
      <c r="D12" s="129">
        <v>44934</v>
      </c>
      <c r="E12" s="128" t="s">
        <v>46</v>
      </c>
      <c r="F12" s="128">
        <v>500</v>
      </c>
      <c r="G12" s="77"/>
      <c r="H12" s="77"/>
    </row>
    <row r="13" spans="1:8" ht="28.9">
      <c r="A13" s="1" t="s">
        <v>47</v>
      </c>
      <c r="B13" s="1" t="s">
        <v>48</v>
      </c>
      <c r="C13" s="1" t="s">
        <v>49</v>
      </c>
      <c r="D13" s="4">
        <v>45170</v>
      </c>
      <c r="E13" s="1" t="s">
        <v>11</v>
      </c>
      <c r="F13" s="1">
        <v>750</v>
      </c>
      <c r="G13" s="144" t="s">
        <v>50</v>
      </c>
      <c r="H13" s="10" t="s">
        <v>51</v>
      </c>
    </row>
    <row r="14" spans="1:8">
      <c r="A14" s="1" t="s">
        <v>52</v>
      </c>
      <c r="B14" s="1" t="s">
        <v>53</v>
      </c>
      <c r="C14" s="1" t="s">
        <v>54</v>
      </c>
      <c r="D14" s="4">
        <v>45397</v>
      </c>
      <c r="E14" s="1" t="s">
        <v>55</v>
      </c>
      <c r="F14" s="1">
        <v>3078</v>
      </c>
      <c r="G14" s="144">
        <v>2687055</v>
      </c>
      <c r="H14" s="11">
        <v>210649.35</v>
      </c>
    </row>
    <row r="15" spans="1:8" ht="28.9">
      <c r="A15" s="128" t="s">
        <v>56</v>
      </c>
      <c r="B15" s="128" t="s">
        <v>57</v>
      </c>
      <c r="C15" s="128" t="s">
        <v>54</v>
      </c>
      <c r="D15" s="129"/>
      <c r="E15" s="128" t="s">
        <v>58</v>
      </c>
      <c r="F15" s="128"/>
      <c r="G15" s="77"/>
      <c r="H15" s="77"/>
    </row>
    <row r="16" spans="1:8">
      <c r="A16" s="1" t="s">
        <v>59</v>
      </c>
      <c r="B16" s="1" t="s">
        <v>60</v>
      </c>
      <c r="C16" s="1" t="s">
        <v>29</v>
      </c>
      <c r="D16" s="4">
        <v>45352</v>
      </c>
      <c r="E16" s="1" t="s">
        <v>55</v>
      </c>
      <c r="F16" s="1">
        <v>40</v>
      </c>
      <c r="G16" s="145" t="s">
        <v>61</v>
      </c>
      <c r="H16" s="134">
        <v>38500</v>
      </c>
    </row>
    <row r="17" spans="1:8" ht="28.9">
      <c r="A17" s="1" t="s">
        <v>62</v>
      </c>
      <c r="B17" s="1" t="s">
        <v>63</v>
      </c>
      <c r="C17" s="1" t="s">
        <v>42</v>
      </c>
      <c r="D17" s="4">
        <v>45170</v>
      </c>
      <c r="E17" s="1" t="s">
        <v>39</v>
      </c>
      <c r="F17" s="1">
        <v>308</v>
      </c>
      <c r="G17" s="144">
        <v>0</v>
      </c>
      <c r="H17" s="136">
        <v>0</v>
      </c>
    </row>
    <row r="18" spans="1:8">
      <c r="A18" s="139" t="s">
        <v>64</v>
      </c>
      <c r="B18" s="139" t="s">
        <v>65</v>
      </c>
      <c r="C18" s="139" t="s">
        <v>66</v>
      </c>
      <c r="D18" s="140"/>
      <c r="E18" s="139" t="s">
        <v>67</v>
      </c>
      <c r="F18" s="139">
        <v>12</v>
      </c>
      <c r="G18" s="141"/>
      <c r="H18" s="141"/>
    </row>
    <row r="19" spans="1:8">
      <c r="A19" s="1" t="s">
        <v>68</v>
      </c>
      <c r="B19" s="1" t="s">
        <v>69</v>
      </c>
      <c r="C19" s="1" t="s">
        <v>17</v>
      </c>
      <c r="D19" s="4">
        <v>45383</v>
      </c>
      <c r="E19" s="1" t="s">
        <v>55</v>
      </c>
      <c r="F19" s="1">
        <v>122</v>
      </c>
      <c r="G19" s="145" t="s">
        <v>70</v>
      </c>
      <c r="H19" s="8">
        <v>36321.5</v>
      </c>
    </row>
    <row r="20" spans="1:8">
      <c r="A20" s="2" t="s">
        <v>71</v>
      </c>
      <c r="B20" s="2" t="s">
        <v>72</v>
      </c>
      <c r="C20" s="2" t="s">
        <v>73</v>
      </c>
      <c r="D20" s="5">
        <v>45512</v>
      </c>
      <c r="E20" s="2" t="s">
        <v>55</v>
      </c>
      <c r="F20" s="2">
        <v>550</v>
      </c>
      <c r="G20" s="145">
        <v>40000</v>
      </c>
      <c r="H20" s="137">
        <v>20000</v>
      </c>
    </row>
    <row r="21" spans="1:8" ht="28.9">
      <c r="A21" s="128" t="s">
        <v>74</v>
      </c>
      <c r="B21" s="128" t="s">
        <v>75</v>
      </c>
      <c r="C21" s="128" t="s">
        <v>76</v>
      </c>
      <c r="D21" s="129"/>
      <c r="E21" s="128" t="s">
        <v>77</v>
      </c>
      <c r="F21" s="128"/>
      <c r="G21" s="77"/>
      <c r="H21" s="77"/>
    </row>
    <row r="22" spans="1:8">
      <c r="A22" s="128" t="s">
        <v>78</v>
      </c>
      <c r="B22" s="128" t="s">
        <v>79</v>
      </c>
      <c r="C22" s="128" t="s">
        <v>80</v>
      </c>
      <c r="D22" s="129"/>
      <c r="E22" s="128" t="s">
        <v>46</v>
      </c>
      <c r="F22" s="128">
        <v>210</v>
      </c>
      <c r="G22" s="77"/>
      <c r="H22" s="77"/>
    </row>
    <row r="23" spans="1:8" ht="28.9">
      <c r="A23" s="1" t="s">
        <v>81</v>
      </c>
      <c r="B23" s="1" t="s">
        <v>82</v>
      </c>
      <c r="C23" s="1" t="s">
        <v>76</v>
      </c>
      <c r="D23" s="4">
        <v>45413</v>
      </c>
      <c r="E23" s="1" t="s">
        <v>83</v>
      </c>
      <c r="F23" s="1">
        <v>116</v>
      </c>
      <c r="G23" s="144">
        <v>53592</v>
      </c>
      <c r="H23" s="138">
        <v>53592</v>
      </c>
    </row>
    <row r="24" spans="1:8" ht="28.9">
      <c r="A24" s="139" t="s">
        <v>84</v>
      </c>
      <c r="B24" s="139" t="s">
        <v>75</v>
      </c>
      <c r="C24" s="142" t="s">
        <v>85</v>
      </c>
      <c r="D24" s="139"/>
      <c r="E24" s="139" t="s">
        <v>67</v>
      </c>
      <c r="F24" s="139"/>
      <c r="G24" s="141"/>
      <c r="H24" s="141"/>
    </row>
    <row r="25" spans="1:8" ht="28.9">
      <c r="A25" s="1" t="s">
        <v>86</v>
      </c>
      <c r="B25" s="1" t="s">
        <v>87</v>
      </c>
      <c r="C25" s="3" t="s">
        <v>88</v>
      </c>
      <c r="D25" s="4">
        <v>45545</v>
      </c>
      <c r="E25" s="1" t="s">
        <v>46</v>
      </c>
      <c r="F25" s="1">
        <v>80</v>
      </c>
      <c r="G25" s="76">
        <v>84097</v>
      </c>
      <c r="H25" s="76"/>
    </row>
    <row r="26" spans="1:8" ht="28.9">
      <c r="A26" s="128" t="s">
        <v>89</v>
      </c>
      <c r="B26" s="128" t="s">
        <v>90</v>
      </c>
      <c r="C26" s="128" t="s">
        <v>49</v>
      </c>
      <c r="D26" s="129"/>
      <c r="E26" s="128" t="s">
        <v>58</v>
      </c>
      <c r="F26" s="128">
        <v>153</v>
      </c>
      <c r="G26" s="77"/>
      <c r="H26" s="77"/>
    </row>
    <row r="27" spans="1:8" ht="43.15">
      <c r="A27" s="128" t="s">
        <v>91</v>
      </c>
      <c r="B27" s="128" t="s">
        <v>92</v>
      </c>
      <c r="C27" s="128" t="s">
        <v>93</v>
      </c>
      <c r="D27" s="129">
        <v>45748</v>
      </c>
      <c r="E27" s="128" t="s">
        <v>77</v>
      </c>
      <c r="F27" s="128"/>
      <c r="G27" s="77"/>
      <c r="H27" s="77"/>
    </row>
    <row r="28" spans="1:8" ht="43.15">
      <c r="A28" s="128" t="s">
        <v>94</v>
      </c>
      <c r="B28" s="128" t="s">
        <v>95</v>
      </c>
      <c r="C28" s="128" t="s">
        <v>21</v>
      </c>
      <c r="D28" s="129"/>
      <c r="E28" s="128" t="s">
        <v>58</v>
      </c>
      <c r="F28" s="128"/>
      <c r="G28" s="77"/>
      <c r="H28" s="77"/>
    </row>
    <row r="29" spans="1:8" ht="28.9">
      <c r="A29" s="1" t="s">
        <v>96</v>
      </c>
      <c r="B29" s="1" t="s">
        <v>97</v>
      </c>
      <c r="C29" s="1" t="s">
        <v>98</v>
      </c>
      <c r="D29" s="4">
        <v>45474</v>
      </c>
      <c r="E29" s="1" t="s">
        <v>11</v>
      </c>
      <c r="F29" s="1"/>
      <c r="G29" s="76"/>
      <c r="H29" s="76"/>
    </row>
    <row r="30" spans="1:8">
      <c r="G30" s="146">
        <f>SUM(G2:G29)</f>
        <v>5221398</v>
      </c>
      <c r="H30" s="146">
        <f>SUM(H2:H29)</f>
        <v>1223615.8500000001</v>
      </c>
    </row>
  </sheetData>
  <dataValidations count="1">
    <dataValidation type="list" allowBlank="1" showInputMessage="1" showErrorMessage="1" sqref="E2:E29" xr:uid="{4234A1C6-931F-4D0F-9F58-A32E8C2ECA08}">
      <formula1>"First Contact, Negotiation, Contract, Set Up, Active, Active - Quiet, Closed, Loss, Not Proceeding"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0369-E397-4F22-B554-F557B3559BB1}">
  <dimension ref="A1:AN27"/>
  <sheetViews>
    <sheetView workbookViewId="0">
      <selection activeCell="AM20" sqref="AM20"/>
    </sheetView>
  </sheetViews>
  <sheetFormatPr defaultRowHeight="14.45"/>
  <cols>
    <col min="1" max="1" width="11.140625" bestFit="1" customWidth="1"/>
    <col min="40" max="40" width="11.28515625" customWidth="1"/>
  </cols>
  <sheetData>
    <row r="1" spans="1:40" ht="72">
      <c r="A1" s="12" t="s">
        <v>99</v>
      </c>
      <c r="B1" s="13" t="s">
        <v>100</v>
      </c>
      <c r="C1" s="13" t="s">
        <v>101</v>
      </c>
      <c r="D1" s="14" t="s">
        <v>102</v>
      </c>
      <c r="E1" s="14" t="s">
        <v>103</v>
      </c>
      <c r="F1" s="13" t="s">
        <v>104</v>
      </c>
      <c r="G1" s="13" t="s">
        <v>105</v>
      </c>
      <c r="H1" s="15" t="s">
        <v>106</v>
      </c>
      <c r="I1" s="15" t="s">
        <v>107</v>
      </c>
      <c r="J1" s="16" t="s">
        <v>108</v>
      </c>
      <c r="K1" s="13" t="s">
        <v>109</v>
      </c>
      <c r="L1" s="13" t="s">
        <v>110</v>
      </c>
      <c r="M1" s="13" t="s">
        <v>111</v>
      </c>
      <c r="N1" s="13" t="s">
        <v>112</v>
      </c>
      <c r="O1" s="13" t="s">
        <v>113</v>
      </c>
      <c r="P1" s="13" t="s">
        <v>114</v>
      </c>
      <c r="Q1" s="13" t="s">
        <v>115</v>
      </c>
      <c r="R1" s="13" t="s">
        <v>116</v>
      </c>
      <c r="S1" s="13" t="s">
        <v>117</v>
      </c>
      <c r="T1" s="13" t="s">
        <v>118</v>
      </c>
      <c r="U1" s="13" t="s">
        <v>119</v>
      </c>
      <c r="V1" s="13" t="s">
        <v>120</v>
      </c>
      <c r="W1" s="13" t="s">
        <v>121</v>
      </c>
      <c r="X1" s="13" t="s">
        <v>122</v>
      </c>
      <c r="Y1" s="13" t="s">
        <v>123</v>
      </c>
      <c r="Z1" s="15" t="s">
        <v>124</v>
      </c>
      <c r="AA1" s="15" t="s">
        <v>125</v>
      </c>
      <c r="AB1" s="16" t="s">
        <v>126</v>
      </c>
      <c r="AC1" s="16" t="s">
        <v>127</v>
      </c>
      <c r="AD1" s="15" t="s">
        <v>128</v>
      </c>
      <c r="AE1" s="17" t="s">
        <v>129</v>
      </c>
      <c r="AF1" s="15" t="s">
        <v>130</v>
      </c>
      <c r="AG1" s="15" t="s">
        <v>131</v>
      </c>
      <c r="AH1" s="15" t="s">
        <v>132</v>
      </c>
      <c r="AI1" s="15" t="s">
        <v>133</v>
      </c>
      <c r="AJ1" s="15" t="s">
        <v>134</v>
      </c>
      <c r="AK1" s="15" t="s">
        <v>135</v>
      </c>
      <c r="AL1" s="15" t="s">
        <v>136</v>
      </c>
      <c r="AM1" s="15" t="s">
        <v>137</v>
      </c>
      <c r="AN1" s="127" t="s">
        <v>138</v>
      </c>
    </row>
    <row r="2" spans="1:40">
      <c r="A2" s="18">
        <v>44896</v>
      </c>
      <c r="B2" s="19">
        <v>0</v>
      </c>
      <c r="C2" s="20">
        <v>20</v>
      </c>
      <c r="D2" s="21">
        <v>0</v>
      </c>
      <c r="E2" s="20">
        <v>0</v>
      </c>
      <c r="F2" s="19">
        <v>0</v>
      </c>
      <c r="G2" s="20">
        <v>0</v>
      </c>
      <c r="H2" s="22"/>
      <c r="I2" s="23"/>
      <c r="J2" s="22"/>
      <c r="K2" s="23"/>
      <c r="L2" s="22"/>
      <c r="M2" s="23"/>
      <c r="N2" s="22"/>
      <c r="O2" s="23"/>
      <c r="P2" s="22"/>
      <c r="Q2" s="23"/>
      <c r="R2" s="22"/>
      <c r="S2" s="23"/>
      <c r="T2" s="22"/>
      <c r="U2" s="23"/>
      <c r="V2" s="22"/>
      <c r="W2" s="23"/>
      <c r="X2" s="22"/>
      <c r="Y2" s="23"/>
      <c r="Z2" s="22"/>
      <c r="AA2" s="23"/>
      <c r="AB2" s="22"/>
      <c r="AC2" s="24"/>
      <c r="AD2" s="22"/>
      <c r="AE2" s="24"/>
      <c r="AF2" s="22"/>
      <c r="AG2" s="24"/>
      <c r="AH2" s="24"/>
      <c r="AI2" s="24"/>
      <c r="AJ2" s="24"/>
      <c r="AK2" s="24"/>
      <c r="AL2" s="20">
        <f>SUM(B2,D2,F2,H2,J2,L2,N2,P2,R2,T2,V2,X2,Z2,AB2,AD2,AF2,AH2,AJ2)</f>
        <v>0</v>
      </c>
      <c r="AM2" s="34">
        <f>SUM(C2,E2,G2,I2,K2,M2,O2,Q2,S2,U2,W2,Y2,AA2,AC2,AE2,AG2,AI2,AK2)</f>
        <v>20</v>
      </c>
      <c r="AN2" s="31"/>
    </row>
    <row r="3" spans="1:40">
      <c r="A3" s="18">
        <v>44927</v>
      </c>
      <c r="B3" s="19">
        <v>0</v>
      </c>
      <c r="C3" s="25">
        <v>0</v>
      </c>
      <c r="D3" s="21">
        <v>0</v>
      </c>
      <c r="E3" s="20">
        <v>0</v>
      </c>
      <c r="F3" s="19">
        <v>0</v>
      </c>
      <c r="G3" s="20">
        <v>0</v>
      </c>
      <c r="H3" s="19">
        <v>0</v>
      </c>
      <c r="I3" s="20">
        <v>0</v>
      </c>
      <c r="J3" s="22"/>
      <c r="K3" s="23"/>
      <c r="L3" s="22"/>
      <c r="M3" s="23"/>
      <c r="N3" s="22"/>
      <c r="O3" s="23"/>
      <c r="P3" s="22"/>
      <c r="Q3" s="23"/>
      <c r="R3" s="22"/>
      <c r="S3" s="23"/>
      <c r="T3" s="22"/>
      <c r="U3" s="23"/>
      <c r="V3" s="22"/>
      <c r="W3" s="23"/>
      <c r="X3" s="22"/>
      <c r="Y3" s="23"/>
      <c r="Z3" s="22"/>
      <c r="AA3" s="23"/>
      <c r="AB3" s="22"/>
      <c r="AC3" s="24"/>
      <c r="AD3" s="22"/>
      <c r="AE3" s="24"/>
      <c r="AF3" s="22"/>
      <c r="AG3" s="24"/>
      <c r="AH3" s="24"/>
      <c r="AI3" s="24"/>
      <c r="AJ3" s="24"/>
      <c r="AK3" s="24"/>
      <c r="AL3" s="20">
        <f t="shared" ref="AL3:AM26" si="0">SUM(B3,D3,F3,H3,J3,L3,N3,P3,R3,T3,V3,X3,Z3,AB3,AD3,AF3,AH3,AJ3)</f>
        <v>0</v>
      </c>
      <c r="AM3" s="34">
        <f t="shared" si="0"/>
        <v>0</v>
      </c>
      <c r="AN3" s="31"/>
    </row>
    <row r="4" spans="1:40" ht="15.6">
      <c r="A4" s="18">
        <v>44958</v>
      </c>
      <c r="B4" s="26">
        <v>0</v>
      </c>
      <c r="C4" s="27">
        <v>3</v>
      </c>
      <c r="D4" s="28">
        <v>0</v>
      </c>
      <c r="E4" s="20">
        <v>0</v>
      </c>
      <c r="F4" s="19">
        <v>0</v>
      </c>
      <c r="G4" s="20">
        <v>0</v>
      </c>
      <c r="H4" s="19">
        <v>0</v>
      </c>
      <c r="I4" s="20">
        <v>0</v>
      </c>
      <c r="J4" s="22"/>
      <c r="K4" s="23"/>
      <c r="L4" s="22"/>
      <c r="M4" s="23"/>
      <c r="N4" s="22"/>
      <c r="O4" s="23"/>
      <c r="P4" s="22"/>
      <c r="Q4" s="23"/>
      <c r="R4" s="22"/>
      <c r="S4" s="23"/>
      <c r="T4" s="22"/>
      <c r="U4" s="23"/>
      <c r="V4" s="22"/>
      <c r="W4" s="23"/>
      <c r="X4" s="22"/>
      <c r="Y4" s="23"/>
      <c r="Z4" s="22"/>
      <c r="AA4" s="23"/>
      <c r="AB4" s="22"/>
      <c r="AC4" s="24"/>
      <c r="AD4" s="22"/>
      <c r="AE4" s="24"/>
      <c r="AF4" s="22"/>
      <c r="AG4" s="24"/>
      <c r="AH4" s="24"/>
      <c r="AI4" s="24"/>
      <c r="AJ4" s="24"/>
      <c r="AK4" s="24"/>
      <c r="AL4" s="20">
        <f t="shared" si="0"/>
        <v>0</v>
      </c>
      <c r="AM4" s="34">
        <f t="shared" si="0"/>
        <v>3</v>
      </c>
      <c r="AN4" s="31"/>
    </row>
    <row r="5" spans="1:40" ht="15.6">
      <c r="A5" s="18">
        <v>44986</v>
      </c>
      <c r="B5" s="26">
        <v>0</v>
      </c>
      <c r="C5" s="29">
        <f>[1]Sheet1!$D$16</f>
        <v>0</v>
      </c>
      <c r="D5" s="28">
        <v>0</v>
      </c>
      <c r="E5" s="20">
        <v>0</v>
      </c>
      <c r="F5" s="19">
        <v>0</v>
      </c>
      <c r="G5" s="20">
        <v>0</v>
      </c>
      <c r="H5" s="19">
        <v>0</v>
      </c>
      <c r="I5" s="20">
        <v>0</v>
      </c>
      <c r="J5" s="19">
        <v>0</v>
      </c>
      <c r="K5" s="20">
        <v>0</v>
      </c>
      <c r="L5" s="22"/>
      <c r="M5" s="23"/>
      <c r="N5" s="22"/>
      <c r="O5" s="23"/>
      <c r="P5" s="22"/>
      <c r="Q5" s="23"/>
      <c r="R5" s="22"/>
      <c r="S5" s="23"/>
      <c r="T5" s="22"/>
      <c r="U5" s="23"/>
      <c r="V5" s="22"/>
      <c r="W5" s="23"/>
      <c r="X5" s="22"/>
      <c r="Y5" s="23"/>
      <c r="Z5" s="22"/>
      <c r="AA5" s="23"/>
      <c r="AB5" s="22"/>
      <c r="AC5" s="24"/>
      <c r="AD5" s="22"/>
      <c r="AE5" s="24"/>
      <c r="AF5" s="22"/>
      <c r="AG5" s="24"/>
      <c r="AH5" s="24"/>
      <c r="AI5" s="24"/>
      <c r="AJ5" s="24"/>
      <c r="AK5" s="24"/>
      <c r="AL5" s="20">
        <f t="shared" si="0"/>
        <v>0</v>
      </c>
      <c r="AM5" s="34">
        <f t="shared" si="0"/>
        <v>0</v>
      </c>
      <c r="AN5" s="31"/>
    </row>
    <row r="6" spans="1:40">
      <c r="A6" s="18">
        <v>45017</v>
      </c>
      <c r="B6" s="19">
        <v>0</v>
      </c>
      <c r="C6" s="30">
        <f>[1]Sheet1!D17</f>
        <v>0</v>
      </c>
      <c r="D6" s="21">
        <v>0</v>
      </c>
      <c r="E6" s="20">
        <v>1</v>
      </c>
      <c r="F6" s="19">
        <v>0</v>
      </c>
      <c r="G6" s="20">
        <v>0</v>
      </c>
      <c r="H6" s="19">
        <v>0</v>
      </c>
      <c r="I6" s="20">
        <v>0</v>
      </c>
      <c r="J6" s="19">
        <v>0</v>
      </c>
      <c r="K6" s="20">
        <v>0</v>
      </c>
      <c r="L6" s="22"/>
      <c r="M6" s="23"/>
      <c r="N6" s="22"/>
      <c r="O6" s="23"/>
      <c r="P6" s="22"/>
      <c r="Q6" s="23"/>
      <c r="R6" s="22"/>
      <c r="S6" s="23"/>
      <c r="T6" s="22"/>
      <c r="U6" s="23"/>
      <c r="V6" s="22"/>
      <c r="W6" s="23"/>
      <c r="X6" s="22"/>
      <c r="Y6" s="23"/>
      <c r="Z6" s="22"/>
      <c r="AA6" s="23"/>
      <c r="AB6" s="22"/>
      <c r="AC6" s="24"/>
      <c r="AD6" s="22"/>
      <c r="AE6" s="24"/>
      <c r="AF6" s="22"/>
      <c r="AG6" s="24"/>
      <c r="AH6" s="24"/>
      <c r="AI6" s="24"/>
      <c r="AJ6" s="24"/>
      <c r="AK6" s="24"/>
      <c r="AL6" s="20">
        <f t="shared" si="0"/>
        <v>0</v>
      </c>
      <c r="AM6" s="20">
        <f t="shared" si="0"/>
        <v>1</v>
      </c>
      <c r="AN6" s="31"/>
    </row>
    <row r="7" spans="1:40">
      <c r="A7" s="18">
        <v>45047</v>
      </c>
      <c r="B7" s="19">
        <v>0</v>
      </c>
      <c r="C7" s="20">
        <f>[1]Sheet1!D18</f>
        <v>0</v>
      </c>
      <c r="D7" s="21">
        <v>0</v>
      </c>
      <c r="E7" s="20">
        <v>0</v>
      </c>
      <c r="F7" s="19">
        <v>0</v>
      </c>
      <c r="G7" s="20">
        <f>[2]Index!H5</f>
        <v>4</v>
      </c>
      <c r="H7" s="19">
        <v>0</v>
      </c>
      <c r="I7" s="20">
        <v>81</v>
      </c>
      <c r="J7" s="19">
        <v>0</v>
      </c>
      <c r="K7" s="20">
        <v>0</v>
      </c>
      <c r="L7" s="22"/>
      <c r="M7" s="23"/>
      <c r="N7" s="22"/>
      <c r="O7" s="23"/>
      <c r="P7" s="22"/>
      <c r="Q7" s="23"/>
      <c r="R7" s="19">
        <v>0</v>
      </c>
      <c r="S7" s="20">
        <v>0</v>
      </c>
      <c r="T7" s="22"/>
      <c r="U7" s="23"/>
      <c r="V7" s="22"/>
      <c r="W7" s="23"/>
      <c r="X7" s="22"/>
      <c r="Y7" s="23"/>
      <c r="Z7" s="22"/>
      <c r="AA7" s="23"/>
      <c r="AB7" s="22"/>
      <c r="AC7" s="24"/>
      <c r="AD7" s="22"/>
      <c r="AE7" s="24"/>
      <c r="AF7" s="22"/>
      <c r="AG7" s="24"/>
      <c r="AH7" s="24"/>
      <c r="AI7" s="24"/>
      <c r="AJ7" s="24"/>
      <c r="AK7" s="24"/>
      <c r="AL7" s="20">
        <f t="shared" si="0"/>
        <v>0</v>
      </c>
      <c r="AM7" s="20">
        <f t="shared" si="0"/>
        <v>85</v>
      </c>
      <c r="AN7" s="31"/>
    </row>
    <row r="8" spans="1:40">
      <c r="A8" s="18">
        <v>45078</v>
      </c>
      <c r="B8" s="19">
        <v>0</v>
      </c>
      <c r="C8" s="20">
        <f>[1]Sheet1!D19</f>
        <v>0</v>
      </c>
      <c r="D8" s="21">
        <v>0</v>
      </c>
      <c r="E8" s="20">
        <v>0</v>
      </c>
      <c r="F8" s="19">
        <v>0</v>
      </c>
      <c r="G8" s="20">
        <f>[2]Index!H6</f>
        <v>4</v>
      </c>
      <c r="H8" s="19">
        <v>0</v>
      </c>
      <c r="I8" s="20">
        <v>0</v>
      </c>
      <c r="J8" s="19">
        <v>0</v>
      </c>
      <c r="K8" s="20">
        <v>0</v>
      </c>
      <c r="L8" s="22"/>
      <c r="M8" s="23"/>
      <c r="N8" s="22"/>
      <c r="O8" s="23"/>
      <c r="P8" s="22"/>
      <c r="Q8" s="23"/>
      <c r="R8" s="19">
        <v>0</v>
      </c>
      <c r="S8" s="20">
        <v>0</v>
      </c>
      <c r="T8" s="22"/>
      <c r="U8" s="23"/>
      <c r="V8" s="22"/>
      <c r="W8" s="23"/>
      <c r="X8" s="22"/>
      <c r="Y8" s="23"/>
      <c r="Z8" s="22"/>
      <c r="AA8" s="23"/>
      <c r="AB8" s="22"/>
      <c r="AC8" s="24"/>
      <c r="AD8" s="22"/>
      <c r="AE8" s="24"/>
      <c r="AF8" s="22"/>
      <c r="AG8" s="24"/>
      <c r="AH8" s="24"/>
      <c r="AI8" s="24"/>
      <c r="AJ8" s="24"/>
      <c r="AK8" s="24"/>
      <c r="AL8" s="20">
        <f t="shared" si="0"/>
        <v>0</v>
      </c>
      <c r="AM8" s="20">
        <f t="shared" si="0"/>
        <v>4</v>
      </c>
      <c r="AN8" s="31"/>
    </row>
    <row r="9" spans="1:40">
      <c r="A9" s="18">
        <v>45108</v>
      </c>
      <c r="B9" s="19">
        <v>0</v>
      </c>
      <c r="C9" s="20">
        <f>[1]Sheet1!D20</f>
        <v>0</v>
      </c>
      <c r="D9" s="21">
        <v>0</v>
      </c>
      <c r="E9" s="20">
        <v>0</v>
      </c>
      <c r="F9" s="19">
        <v>0</v>
      </c>
      <c r="G9" s="20">
        <f>[2]Index!H7</f>
        <v>2</v>
      </c>
      <c r="H9" s="19">
        <v>0</v>
      </c>
      <c r="I9" s="20">
        <v>1</v>
      </c>
      <c r="J9" s="19">
        <v>0</v>
      </c>
      <c r="K9" s="20">
        <f>[3]Summary!C5</f>
        <v>1</v>
      </c>
      <c r="L9" s="22"/>
      <c r="M9" s="23"/>
      <c r="N9" s="22"/>
      <c r="O9" s="23"/>
      <c r="P9" s="19">
        <v>0</v>
      </c>
      <c r="Q9" s="20">
        <v>0</v>
      </c>
      <c r="R9" s="19">
        <v>0</v>
      </c>
      <c r="S9" s="20">
        <v>0</v>
      </c>
      <c r="T9" s="22"/>
      <c r="U9" s="23"/>
      <c r="V9" s="22"/>
      <c r="W9" s="23"/>
      <c r="X9" s="22"/>
      <c r="Y9" s="23"/>
      <c r="Z9" s="22"/>
      <c r="AA9" s="23"/>
      <c r="AB9" s="22"/>
      <c r="AC9" s="24"/>
      <c r="AD9" s="22"/>
      <c r="AE9" s="24"/>
      <c r="AF9" s="22"/>
      <c r="AG9" s="24"/>
      <c r="AH9" s="24"/>
      <c r="AI9" s="24"/>
      <c r="AJ9" s="24"/>
      <c r="AK9" s="24"/>
      <c r="AL9" s="20">
        <f t="shared" si="0"/>
        <v>0</v>
      </c>
      <c r="AM9" s="20">
        <f t="shared" si="0"/>
        <v>4</v>
      </c>
      <c r="AN9" s="31"/>
    </row>
    <row r="10" spans="1:40">
      <c r="A10" s="18">
        <v>45139</v>
      </c>
      <c r="B10" s="19">
        <v>0</v>
      </c>
      <c r="C10" s="20">
        <f>[1]Sheet1!D21</f>
        <v>0</v>
      </c>
      <c r="D10" s="21">
        <v>0</v>
      </c>
      <c r="E10" s="20">
        <v>26</v>
      </c>
      <c r="F10" s="19">
        <v>0</v>
      </c>
      <c r="G10" s="20">
        <f>[2]Index!H8</f>
        <v>3</v>
      </c>
      <c r="H10" s="19">
        <v>0</v>
      </c>
      <c r="I10" s="20">
        <v>0</v>
      </c>
      <c r="J10" s="19">
        <v>0</v>
      </c>
      <c r="K10" s="20">
        <f>[3]Summary!C6</f>
        <v>8</v>
      </c>
      <c r="L10" s="19">
        <v>0</v>
      </c>
      <c r="M10" s="20">
        <v>0</v>
      </c>
      <c r="N10" s="22"/>
      <c r="O10" s="23"/>
      <c r="P10" s="19">
        <v>0</v>
      </c>
      <c r="Q10" s="20">
        <v>0</v>
      </c>
      <c r="R10" s="19">
        <v>0</v>
      </c>
      <c r="S10" s="20">
        <v>0</v>
      </c>
      <c r="T10" s="22"/>
      <c r="U10" s="23"/>
      <c r="V10" s="22"/>
      <c r="W10" s="23"/>
      <c r="X10" s="22"/>
      <c r="Y10" s="23"/>
      <c r="Z10" s="22"/>
      <c r="AA10" s="23"/>
      <c r="AB10" s="22"/>
      <c r="AC10" s="24"/>
      <c r="AD10" s="22"/>
      <c r="AE10" s="24"/>
      <c r="AF10" s="22"/>
      <c r="AG10" s="24"/>
      <c r="AH10" s="24"/>
      <c r="AI10" s="24"/>
      <c r="AJ10" s="24"/>
      <c r="AK10" s="24"/>
      <c r="AL10" s="20">
        <f t="shared" si="0"/>
        <v>0</v>
      </c>
      <c r="AM10" s="20">
        <f t="shared" si="0"/>
        <v>37</v>
      </c>
      <c r="AN10" s="31"/>
    </row>
    <row r="11" spans="1:40">
      <c r="A11" s="18">
        <v>45170</v>
      </c>
      <c r="B11" s="32">
        <v>10</v>
      </c>
      <c r="C11" s="20">
        <f>[1]Sheet1!D22</f>
        <v>0</v>
      </c>
      <c r="D11" s="21">
        <v>0</v>
      </c>
      <c r="E11" s="20">
        <v>12</v>
      </c>
      <c r="F11" s="32">
        <v>9</v>
      </c>
      <c r="G11" s="20">
        <f>[2]Index!H9</f>
        <v>10</v>
      </c>
      <c r="H11" s="32">
        <v>0</v>
      </c>
      <c r="I11" s="20">
        <v>0</v>
      </c>
      <c r="J11" s="32">
        <v>7</v>
      </c>
      <c r="K11" s="20">
        <f>[3]Summary!C7</f>
        <v>7</v>
      </c>
      <c r="L11" s="32">
        <v>0</v>
      </c>
      <c r="M11" s="20">
        <v>0</v>
      </c>
      <c r="N11" s="32">
        <v>0</v>
      </c>
      <c r="O11" s="20">
        <v>0</v>
      </c>
      <c r="P11" s="32">
        <v>0</v>
      </c>
      <c r="Q11" s="20">
        <v>0</v>
      </c>
      <c r="R11" s="19">
        <v>0</v>
      </c>
      <c r="S11" s="20">
        <v>0</v>
      </c>
      <c r="T11" s="33"/>
      <c r="U11" s="23"/>
      <c r="V11" s="33"/>
      <c r="W11" s="23"/>
      <c r="X11" s="32">
        <v>0</v>
      </c>
      <c r="Y11" s="20">
        <v>0</v>
      </c>
      <c r="Z11" s="22"/>
      <c r="AA11" s="23"/>
      <c r="AB11" s="22"/>
      <c r="AC11" s="24"/>
      <c r="AD11" s="19">
        <v>0</v>
      </c>
      <c r="AE11" s="34">
        <v>0</v>
      </c>
      <c r="AF11" s="22"/>
      <c r="AG11" s="24"/>
      <c r="AH11" s="24"/>
      <c r="AI11" s="24"/>
      <c r="AJ11" s="24"/>
      <c r="AK11" s="24"/>
      <c r="AL11" s="20">
        <f t="shared" si="0"/>
        <v>26</v>
      </c>
      <c r="AM11" s="20">
        <f t="shared" si="0"/>
        <v>29</v>
      </c>
      <c r="AN11" s="31">
        <f t="shared" ref="AN11:AN26" si="1">AM11/AL11</f>
        <v>1.1153846153846154</v>
      </c>
    </row>
    <row r="12" spans="1:40">
      <c r="A12" s="18">
        <v>45200</v>
      </c>
      <c r="B12" s="32">
        <v>8</v>
      </c>
      <c r="C12" s="20">
        <f>[1]Sheet1!D23</f>
        <v>0</v>
      </c>
      <c r="D12" s="21">
        <v>0</v>
      </c>
      <c r="E12" s="20">
        <v>7</v>
      </c>
      <c r="F12" s="32">
        <v>7</v>
      </c>
      <c r="G12" s="20">
        <f>[2]Index!H10</f>
        <v>6</v>
      </c>
      <c r="H12" s="32">
        <v>0</v>
      </c>
      <c r="I12" s="20">
        <v>0</v>
      </c>
      <c r="J12" s="32">
        <v>5</v>
      </c>
      <c r="K12" s="20">
        <f>[3]Summary!C8</f>
        <v>5</v>
      </c>
      <c r="L12" s="32">
        <v>3</v>
      </c>
      <c r="M12" s="20">
        <f>[4]Summary!C5</f>
        <v>3</v>
      </c>
      <c r="N12" s="32">
        <v>0</v>
      </c>
      <c r="O12" s="20">
        <v>0</v>
      </c>
      <c r="P12" s="32">
        <v>0</v>
      </c>
      <c r="Q12" s="20">
        <v>0</v>
      </c>
      <c r="R12" s="19">
        <v>0</v>
      </c>
      <c r="S12" s="20">
        <v>0</v>
      </c>
      <c r="T12" s="32">
        <v>0</v>
      </c>
      <c r="U12" s="20">
        <v>0</v>
      </c>
      <c r="V12" s="33"/>
      <c r="W12" s="23"/>
      <c r="X12" s="32">
        <v>0</v>
      </c>
      <c r="Y12" s="20">
        <v>0</v>
      </c>
      <c r="Z12" s="22"/>
      <c r="AA12" s="23"/>
      <c r="AB12" s="22"/>
      <c r="AC12" s="24"/>
      <c r="AD12" s="19">
        <v>0</v>
      </c>
      <c r="AE12" s="34">
        <v>0</v>
      </c>
      <c r="AF12" s="22"/>
      <c r="AG12" s="24"/>
      <c r="AH12" s="24"/>
      <c r="AI12" s="24"/>
      <c r="AJ12" s="24"/>
      <c r="AK12" s="24"/>
      <c r="AL12" s="20">
        <f t="shared" si="0"/>
        <v>23</v>
      </c>
      <c r="AM12" s="20">
        <f t="shared" si="0"/>
        <v>21</v>
      </c>
      <c r="AN12" s="31">
        <f t="shared" si="1"/>
        <v>0.91304347826086951</v>
      </c>
    </row>
    <row r="13" spans="1:40">
      <c r="A13" s="18">
        <v>45231</v>
      </c>
      <c r="B13" s="32">
        <v>4</v>
      </c>
      <c r="C13" s="20">
        <f>[1]Sheet1!D24</f>
        <v>0</v>
      </c>
      <c r="D13" s="21">
        <v>0</v>
      </c>
      <c r="E13" s="20">
        <v>3</v>
      </c>
      <c r="F13" s="32">
        <v>21</v>
      </c>
      <c r="G13" s="20">
        <f>[2]Index!H11</f>
        <v>20</v>
      </c>
      <c r="H13" s="32">
        <v>0</v>
      </c>
      <c r="I13" s="20">
        <v>0</v>
      </c>
      <c r="J13" s="32">
        <v>12</v>
      </c>
      <c r="K13" s="20">
        <f>[3]Summary!C9</f>
        <v>13</v>
      </c>
      <c r="L13" s="32">
        <v>7</v>
      </c>
      <c r="M13" s="20">
        <f>[4]Summary!C6</f>
        <v>7</v>
      </c>
      <c r="N13" s="32">
        <v>0</v>
      </c>
      <c r="O13" s="20">
        <v>0</v>
      </c>
      <c r="P13" s="32">
        <v>0</v>
      </c>
      <c r="Q13" s="20">
        <v>0</v>
      </c>
      <c r="R13" s="19">
        <v>0</v>
      </c>
      <c r="S13" s="20">
        <v>0</v>
      </c>
      <c r="T13" s="32">
        <v>0</v>
      </c>
      <c r="U13" s="20">
        <v>0</v>
      </c>
      <c r="V13" s="33"/>
      <c r="W13" s="23"/>
      <c r="X13" s="32">
        <v>0</v>
      </c>
      <c r="Y13" s="20">
        <v>0</v>
      </c>
      <c r="Z13" s="22"/>
      <c r="AA13" s="23"/>
      <c r="AB13" s="22"/>
      <c r="AC13" s="24"/>
      <c r="AD13" s="19">
        <v>0</v>
      </c>
      <c r="AE13" s="34">
        <v>0</v>
      </c>
      <c r="AF13" s="22"/>
      <c r="AG13" s="35"/>
      <c r="AH13" s="35"/>
      <c r="AI13" s="35"/>
      <c r="AJ13" s="35"/>
      <c r="AK13" s="35"/>
      <c r="AL13" s="20">
        <f t="shared" si="0"/>
        <v>44</v>
      </c>
      <c r="AM13" s="20">
        <f t="shared" si="0"/>
        <v>43</v>
      </c>
      <c r="AN13" s="31">
        <f t="shared" si="1"/>
        <v>0.97727272727272729</v>
      </c>
    </row>
    <row r="14" spans="1:40" ht="15" thickBot="1">
      <c r="A14" s="36">
        <v>45261</v>
      </c>
      <c r="B14" s="37">
        <v>11</v>
      </c>
      <c r="C14" s="38">
        <f>[1]Sheet1!D25</f>
        <v>64</v>
      </c>
      <c r="D14" s="39">
        <v>0</v>
      </c>
      <c r="E14" s="38">
        <v>12</v>
      </c>
      <c r="F14" s="37">
        <v>9</v>
      </c>
      <c r="G14" s="38">
        <f>[2]Index!H12</f>
        <v>9</v>
      </c>
      <c r="H14" s="37">
        <v>0</v>
      </c>
      <c r="I14" s="38">
        <v>0</v>
      </c>
      <c r="J14" s="37">
        <v>5</v>
      </c>
      <c r="K14" s="38">
        <f>[3]Summary!C10</f>
        <v>5</v>
      </c>
      <c r="L14" s="37">
        <v>6</v>
      </c>
      <c r="M14" s="38">
        <f>[4]Summary!C7</f>
        <v>4</v>
      </c>
      <c r="N14" s="37">
        <v>0</v>
      </c>
      <c r="O14" s="38">
        <v>0</v>
      </c>
      <c r="P14" s="37">
        <v>0</v>
      </c>
      <c r="Q14" s="38">
        <v>0</v>
      </c>
      <c r="R14" s="40">
        <v>0</v>
      </c>
      <c r="S14" s="38">
        <v>0</v>
      </c>
      <c r="T14" s="37">
        <v>0</v>
      </c>
      <c r="U14" s="38">
        <v>0</v>
      </c>
      <c r="V14" s="37">
        <v>0</v>
      </c>
      <c r="W14" s="38">
        <v>0</v>
      </c>
      <c r="X14" s="37">
        <v>0</v>
      </c>
      <c r="Y14" s="38">
        <v>0</v>
      </c>
      <c r="Z14" s="41"/>
      <c r="AA14" s="42"/>
      <c r="AB14" s="41"/>
      <c r="AC14" s="43"/>
      <c r="AD14" s="40">
        <v>0</v>
      </c>
      <c r="AE14" s="44">
        <v>0</v>
      </c>
      <c r="AF14" s="41"/>
      <c r="AG14" s="45"/>
      <c r="AH14" s="45"/>
      <c r="AI14" s="45"/>
      <c r="AJ14" s="45"/>
      <c r="AK14" s="46"/>
      <c r="AL14" s="38">
        <f t="shared" si="0"/>
        <v>31</v>
      </c>
      <c r="AM14" s="47">
        <f t="shared" si="0"/>
        <v>94</v>
      </c>
      <c r="AN14" s="48">
        <f t="shared" si="1"/>
        <v>3.032258064516129</v>
      </c>
    </row>
    <row r="15" spans="1:40">
      <c r="A15" s="49">
        <v>45292</v>
      </c>
      <c r="B15" s="50">
        <v>9</v>
      </c>
      <c r="C15" s="30">
        <f>[1]Sheet1!D26</f>
        <v>0</v>
      </c>
      <c r="D15" s="51">
        <v>7</v>
      </c>
      <c r="E15" s="30">
        <v>15</v>
      </c>
      <c r="F15" s="50">
        <v>12</v>
      </c>
      <c r="G15" s="52">
        <f>[2]Index!H13</f>
        <v>6</v>
      </c>
      <c r="H15" s="50">
        <v>56</v>
      </c>
      <c r="I15" s="30">
        <f>[5]Sheet1!$H$6</f>
        <v>48</v>
      </c>
      <c r="J15" s="50">
        <v>10</v>
      </c>
      <c r="K15" s="53">
        <f>[3]Summary!C11</f>
        <v>8</v>
      </c>
      <c r="L15" s="50">
        <v>1</v>
      </c>
      <c r="M15" s="30">
        <f>[4]Summary!C8</f>
        <v>3</v>
      </c>
      <c r="N15" s="50">
        <v>0</v>
      </c>
      <c r="O15" s="30">
        <v>0</v>
      </c>
      <c r="P15" s="50">
        <v>0</v>
      </c>
      <c r="Q15" s="30">
        <v>0</v>
      </c>
      <c r="R15" s="54">
        <v>0</v>
      </c>
      <c r="S15" s="30">
        <v>0</v>
      </c>
      <c r="T15" s="50">
        <v>0</v>
      </c>
      <c r="U15" s="30">
        <v>0</v>
      </c>
      <c r="V15" s="50">
        <v>58</v>
      </c>
      <c r="W15" s="30">
        <f>[6]Summary!C5</f>
        <v>68</v>
      </c>
      <c r="X15" s="50">
        <v>0</v>
      </c>
      <c r="Y15" s="30">
        <v>0</v>
      </c>
      <c r="Z15" s="55"/>
      <c r="AA15" s="56"/>
      <c r="AB15" s="55"/>
      <c r="AC15" s="57"/>
      <c r="AD15" s="54">
        <v>0</v>
      </c>
      <c r="AE15" s="52">
        <v>0</v>
      </c>
      <c r="AF15" s="58"/>
      <c r="AG15" s="59"/>
      <c r="AH15" s="57"/>
      <c r="AI15" s="57"/>
      <c r="AJ15" s="57"/>
      <c r="AK15" s="59"/>
      <c r="AL15" s="30">
        <f t="shared" si="0"/>
        <v>153</v>
      </c>
      <c r="AM15" s="30">
        <f t="shared" si="0"/>
        <v>148</v>
      </c>
      <c r="AN15" s="60">
        <f t="shared" si="1"/>
        <v>0.9673202614379085</v>
      </c>
    </row>
    <row r="16" spans="1:40">
      <c r="A16" s="18">
        <v>45323</v>
      </c>
      <c r="B16" s="32">
        <v>9</v>
      </c>
      <c r="C16" s="20">
        <f>[1]Sheet1!D27</f>
        <v>0</v>
      </c>
      <c r="D16" s="21">
        <v>7</v>
      </c>
      <c r="E16" s="20">
        <v>5</v>
      </c>
      <c r="F16" s="32">
        <v>12</v>
      </c>
      <c r="G16" s="34">
        <f>[2]Index!H14</f>
        <v>26</v>
      </c>
      <c r="H16" s="32">
        <v>21</v>
      </c>
      <c r="I16" s="30">
        <f>[5]Sheet1!$H$7</f>
        <v>0</v>
      </c>
      <c r="J16" s="32">
        <v>5</v>
      </c>
      <c r="K16" s="61">
        <f>[3]Summary!C12</f>
        <v>3</v>
      </c>
      <c r="L16" s="32">
        <v>9</v>
      </c>
      <c r="M16" s="20">
        <f>[4]Summary!C9</f>
        <v>12</v>
      </c>
      <c r="N16" s="32">
        <v>0</v>
      </c>
      <c r="O16" s="20">
        <v>0</v>
      </c>
      <c r="P16" s="32">
        <v>0</v>
      </c>
      <c r="Q16" s="20">
        <v>0</v>
      </c>
      <c r="R16" s="19">
        <v>0</v>
      </c>
      <c r="S16" s="20">
        <v>0</v>
      </c>
      <c r="T16" s="32">
        <v>0</v>
      </c>
      <c r="U16" s="20">
        <v>0</v>
      </c>
      <c r="V16" s="32">
        <v>8</v>
      </c>
      <c r="W16" s="20">
        <f>[6]Summary!C6</f>
        <v>24</v>
      </c>
      <c r="X16" s="32">
        <v>0</v>
      </c>
      <c r="Y16" s="20">
        <v>0</v>
      </c>
      <c r="Z16" s="22"/>
      <c r="AA16" s="23"/>
      <c r="AB16" s="22"/>
      <c r="AC16" s="24"/>
      <c r="AD16" s="19">
        <v>144</v>
      </c>
      <c r="AE16" s="62">
        <f>[7]Index!$G$5</f>
        <v>162</v>
      </c>
      <c r="AF16" s="63"/>
      <c r="AG16" s="64"/>
      <c r="AH16" s="24"/>
      <c r="AI16" s="24"/>
      <c r="AJ16" s="24"/>
      <c r="AK16" s="64"/>
      <c r="AL16" s="20">
        <f t="shared" si="0"/>
        <v>215</v>
      </c>
      <c r="AM16" s="30">
        <f t="shared" si="0"/>
        <v>232</v>
      </c>
      <c r="AN16" s="31">
        <f t="shared" si="1"/>
        <v>1.0790697674418606</v>
      </c>
    </row>
    <row r="17" spans="1:40">
      <c r="A17" s="18">
        <v>45352</v>
      </c>
      <c r="B17" s="32">
        <v>9</v>
      </c>
      <c r="C17" s="65">
        <f>[1]Sheet1!D28</f>
        <v>1</v>
      </c>
      <c r="D17" s="21">
        <v>7</v>
      </c>
      <c r="E17" s="20">
        <v>10</v>
      </c>
      <c r="F17" s="32">
        <v>12</v>
      </c>
      <c r="G17" s="65">
        <f>[2]Index!H15</f>
        <v>31</v>
      </c>
      <c r="H17" s="32">
        <v>15</v>
      </c>
      <c r="I17" s="30">
        <f>[5]Sheet1!$H$8</f>
        <v>0</v>
      </c>
      <c r="J17" s="32">
        <v>11</v>
      </c>
      <c r="K17" s="65">
        <f>[3]Summary!C13</f>
        <v>14</v>
      </c>
      <c r="L17" s="32">
        <v>5</v>
      </c>
      <c r="M17" s="65">
        <f>[4]Summary!C10</f>
        <v>8</v>
      </c>
      <c r="N17" s="32">
        <v>2</v>
      </c>
      <c r="O17" s="65">
        <v>0</v>
      </c>
      <c r="P17" s="32">
        <v>2</v>
      </c>
      <c r="Q17" s="25">
        <f>[8]Key!$C$7</f>
        <v>0</v>
      </c>
      <c r="R17" s="19">
        <v>0</v>
      </c>
      <c r="S17" s="65">
        <v>0</v>
      </c>
      <c r="T17" s="32">
        <v>0</v>
      </c>
      <c r="U17" s="20">
        <v>0</v>
      </c>
      <c r="V17" s="32">
        <v>32</v>
      </c>
      <c r="W17" s="20">
        <f>[6]Summary!C7</f>
        <v>30</v>
      </c>
      <c r="X17" s="32">
        <v>6</v>
      </c>
      <c r="Y17" s="65">
        <v>0</v>
      </c>
      <c r="Z17" s="22"/>
      <c r="AA17" s="23"/>
      <c r="AB17" s="19">
        <v>0</v>
      </c>
      <c r="AC17" s="34">
        <v>0</v>
      </c>
      <c r="AD17" s="19">
        <v>144</v>
      </c>
      <c r="AE17" s="34">
        <f>[7]Index!$G$6</f>
        <v>124</v>
      </c>
      <c r="AF17" s="63"/>
      <c r="AG17" s="64"/>
      <c r="AH17" s="24"/>
      <c r="AI17" s="24"/>
      <c r="AJ17" s="24"/>
      <c r="AK17" s="64"/>
      <c r="AL17" s="20">
        <f t="shared" si="0"/>
        <v>245</v>
      </c>
      <c r="AM17" s="20">
        <f>SUM(C17,E17,G17,I16,K17,M17,O17,Q17,S17,U17,W17,Y17,AA17,AC17,AE17,AG17,AI17,AK17)</f>
        <v>218</v>
      </c>
      <c r="AN17" s="31">
        <f t="shared" si="1"/>
        <v>0.88979591836734695</v>
      </c>
    </row>
    <row r="18" spans="1:40">
      <c r="A18" s="18">
        <v>45383</v>
      </c>
      <c r="B18" s="32">
        <v>8</v>
      </c>
      <c r="C18" s="65">
        <f>[1]Sheet1!D29</f>
        <v>0</v>
      </c>
      <c r="D18" s="21">
        <v>10</v>
      </c>
      <c r="E18" s="20">
        <v>46</v>
      </c>
      <c r="F18" s="32">
        <v>22</v>
      </c>
      <c r="G18" s="65">
        <f>[2]Index!H16</f>
        <v>33</v>
      </c>
      <c r="H18" s="32">
        <v>10</v>
      </c>
      <c r="I18" s="20">
        <f>[5]Sheet1!$H$9</f>
        <v>51</v>
      </c>
      <c r="J18" s="32">
        <v>8</v>
      </c>
      <c r="K18" s="65">
        <f>[3]Summary!C14</f>
        <v>17</v>
      </c>
      <c r="L18" s="32">
        <v>10</v>
      </c>
      <c r="M18" s="65">
        <f>[4]Summary!C11</f>
        <v>5</v>
      </c>
      <c r="N18" s="32">
        <v>1</v>
      </c>
      <c r="O18" s="65">
        <v>0</v>
      </c>
      <c r="P18" s="32">
        <v>4</v>
      </c>
      <c r="Q18" s="20">
        <f>[8]Key!$C$8</f>
        <v>0</v>
      </c>
      <c r="R18" s="19">
        <v>0</v>
      </c>
      <c r="S18" s="65">
        <v>0</v>
      </c>
      <c r="T18" s="32">
        <v>0</v>
      </c>
      <c r="U18" s="20">
        <v>0</v>
      </c>
      <c r="V18" s="32">
        <v>32</v>
      </c>
      <c r="W18" s="20">
        <f>[6]Summary!C8</f>
        <v>32</v>
      </c>
      <c r="X18" s="32">
        <v>14</v>
      </c>
      <c r="Y18" s="65">
        <f>[9]Summary!$C$5</f>
        <v>1</v>
      </c>
      <c r="Z18" s="19">
        <v>0</v>
      </c>
      <c r="AA18" s="20">
        <v>0</v>
      </c>
      <c r="AB18" s="19">
        <v>0</v>
      </c>
      <c r="AC18" s="34">
        <v>0</v>
      </c>
      <c r="AD18" s="19">
        <v>7</v>
      </c>
      <c r="AE18" s="34">
        <f>[7]Index!$G$7</f>
        <v>4</v>
      </c>
      <c r="AF18" s="66">
        <v>0</v>
      </c>
      <c r="AG18" s="67">
        <v>0</v>
      </c>
      <c r="AH18" s="24"/>
      <c r="AI18" s="24"/>
      <c r="AJ18" s="24"/>
      <c r="AK18" s="64"/>
      <c r="AL18" s="20">
        <f t="shared" si="0"/>
        <v>126</v>
      </c>
      <c r="AM18" s="20">
        <f t="shared" si="0"/>
        <v>189</v>
      </c>
      <c r="AN18" s="31">
        <f t="shared" si="1"/>
        <v>1.5</v>
      </c>
    </row>
    <row r="19" spans="1:40">
      <c r="A19" s="18">
        <v>45413</v>
      </c>
      <c r="B19" s="32">
        <v>8</v>
      </c>
      <c r="C19" s="65">
        <f>[1]Sheet1!D30</f>
        <v>0</v>
      </c>
      <c r="D19" s="21">
        <v>10</v>
      </c>
      <c r="E19" s="20">
        <v>0</v>
      </c>
      <c r="F19" s="32">
        <v>22</v>
      </c>
      <c r="G19" s="65">
        <f>[2]Index!H17</f>
        <v>22</v>
      </c>
      <c r="H19" s="32">
        <v>0</v>
      </c>
      <c r="I19" s="20">
        <v>0</v>
      </c>
      <c r="J19" s="32">
        <v>8</v>
      </c>
      <c r="K19" s="65">
        <f>[3]Summary!C15</f>
        <v>14</v>
      </c>
      <c r="L19" s="32">
        <v>8</v>
      </c>
      <c r="M19" s="65">
        <f>[4]Summary!C12</f>
        <v>15</v>
      </c>
      <c r="N19" s="32">
        <v>1</v>
      </c>
      <c r="O19" s="65">
        <f>[10]Summary!$C5</f>
        <v>1</v>
      </c>
      <c r="P19" s="32">
        <v>4</v>
      </c>
      <c r="Q19" s="20">
        <f>[8]Key!$C$9</f>
        <v>0</v>
      </c>
      <c r="R19" s="19">
        <v>0</v>
      </c>
      <c r="S19" s="65">
        <f>[11]Summary!$C$5</f>
        <v>0</v>
      </c>
      <c r="T19" s="32">
        <v>0</v>
      </c>
      <c r="U19" s="20">
        <v>0</v>
      </c>
      <c r="V19" s="32">
        <v>32</v>
      </c>
      <c r="W19" s="65">
        <f>[6]Summary!C9</f>
        <v>6</v>
      </c>
      <c r="X19" s="32">
        <v>14</v>
      </c>
      <c r="Y19" s="65">
        <f>[9]Summary!$C$6</f>
        <v>3</v>
      </c>
      <c r="Z19" s="19">
        <v>0</v>
      </c>
      <c r="AA19" s="20">
        <v>0</v>
      </c>
      <c r="AB19" s="19">
        <v>0</v>
      </c>
      <c r="AC19" s="65">
        <v>0</v>
      </c>
      <c r="AD19" s="19">
        <v>0</v>
      </c>
      <c r="AE19" s="34">
        <f>[7]Index!$G$8</f>
        <v>0</v>
      </c>
      <c r="AF19" s="66">
        <v>0</v>
      </c>
      <c r="AG19" s="67">
        <v>0</v>
      </c>
      <c r="AH19" s="24"/>
      <c r="AI19" s="24"/>
      <c r="AJ19" s="24"/>
      <c r="AK19" s="64"/>
      <c r="AL19" s="20">
        <f t="shared" si="0"/>
        <v>107</v>
      </c>
      <c r="AM19" s="20">
        <f t="shared" si="0"/>
        <v>61</v>
      </c>
      <c r="AN19" s="31">
        <f t="shared" si="1"/>
        <v>0.57009345794392519</v>
      </c>
    </row>
    <row r="20" spans="1:40">
      <c r="A20" s="18">
        <v>45444</v>
      </c>
      <c r="B20" s="32">
        <v>8</v>
      </c>
      <c r="C20" s="65">
        <f>[1]Sheet1!D31</f>
        <v>0</v>
      </c>
      <c r="D20" s="32">
        <v>10</v>
      </c>
      <c r="E20" s="20">
        <v>0</v>
      </c>
      <c r="F20" s="32">
        <v>22</v>
      </c>
      <c r="G20" s="65">
        <f>[2]Index!H18</f>
        <v>15</v>
      </c>
      <c r="H20" s="32">
        <v>0</v>
      </c>
      <c r="I20" s="20">
        <v>0</v>
      </c>
      <c r="J20" s="32">
        <v>5</v>
      </c>
      <c r="K20" s="65">
        <f>[3]Summary!C16</f>
        <v>17</v>
      </c>
      <c r="L20" s="32">
        <v>2</v>
      </c>
      <c r="M20" s="65">
        <f>[4]Summary!C13</f>
        <v>3</v>
      </c>
      <c r="N20" s="32">
        <v>1</v>
      </c>
      <c r="O20" s="65">
        <f>[10]Summary!$C6</f>
        <v>0</v>
      </c>
      <c r="P20" s="32">
        <v>4</v>
      </c>
      <c r="Q20" s="20">
        <f>[8]Key!$C$10</f>
        <v>0</v>
      </c>
      <c r="R20" s="32">
        <v>0</v>
      </c>
      <c r="S20" s="65">
        <f>[11]Summary!$C$6</f>
        <v>0</v>
      </c>
      <c r="T20" s="32">
        <v>0</v>
      </c>
      <c r="U20" s="65">
        <v>0</v>
      </c>
      <c r="V20" s="32">
        <v>32</v>
      </c>
      <c r="W20" s="65">
        <f>[6]Summary!C10</f>
        <v>20</v>
      </c>
      <c r="X20" s="32">
        <v>10</v>
      </c>
      <c r="Y20" s="65">
        <f>[9]Summary!$C$7</f>
        <v>2</v>
      </c>
      <c r="Z20" s="32">
        <v>0</v>
      </c>
      <c r="AA20" s="20">
        <v>0</v>
      </c>
      <c r="AB20" s="32">
        <v>0</v>
      </c>
      <c r="AC20" s="65">
        <v>0</v>
      </c>
      <c r="AD20" s="22">
        <v>0</v>
      </c>
      <c r="AE20" s="68"/>
      <c r="AF20" s="66">
        <v>0</v>
      </c>
      <c r="AG20" s="67">
        <v>0</v>
      </c>
      <c r="AH20" s="24"/>
      <c r="AI20" s="24"/>
      <c r="AJ20" s="24"/>
      <c r="AK20" s="64"/>
      <c r="AL20" s="20">
        <f t="shared" si="0"/>
        <v>94</v>
      </c>
      <c r="AM20" s="20">
        <f t="shared" si="0"/>
        <v>57</v>
      </c>
      <c r="AN20" s="31">
        <f t="shared" si="1"/>
        <v>0.6063829787234043</v>
      </c>
    </row>
    <row r="21" spans="1:40">
      <c r="A21" s="18">
        <v>45474</v>
      </c>
      <c r="B21" s="69">
        <v>13</v>
      </c>
      <c r="C21" s="65">
        <f>[1]Sheet1!D32</f>
        <v>0</v>
      </c>
      <c r="D21" s="69">
        <v>12</v>
      </c>
      <c r="E21" s="25">
        <v>0</v>
      </c>
      <c r="F21" s="69">
        <v>22</v>
      </c>
      <c r="G21" s="65">
        <f>[2]Index!H19</f>
        <v>28</v>
      </c>
      <c r="H21" s="69">
        <v>0</v>
      </c>
      <c r="I21" s="65">
        <v>0</v>
      </c>
      <c r="J21" s="69">
        <v>16</v>
      </c>
      <c r="K21" s="65">
        <f>[3]Summary!C17</f>
        <v>15</v>
      </c>
      <c r="L21" s="69">
        <v>5</v>
      </c>
      <c r="M21" s="65">
        <f>[4]Summary!C14</f>
        <v>7</v>
      </c>
      <c r="N21" s="69">
        <v>1</v>
      </c>
      <c r="O21" s="65">
        <f>[10]Summary!$C7</f>
        <v>0</v>
      </c>
      <c r="P21" s="69">
        <v>1</v>
      </c>
      <c r="Q21" s="20">
        <f>[8]Key!$C$11</f>
        <v>0</v>
      </c>
      <c r="R21" s="69">
        <v>0</v>
      </c>
      <c r="S21" s="65">
        <f>[11]Summary!$C$7</f>
        <v>0</v>
      </c>
      <c r="T21" s="69">
        <v>0</v>
      </c>
      <c r="U21" s="65">
        <v>0</v>
      </c>
      <c r="V21" s="69">
        <v>20</v>
      </c>
      <c r="W21" s="65">
        <f>[6]Summary!C11</f>
        <v>35</v>
      </c>
      <c r="X21" s="69">
        <v>10</v>
      </c>
      <c r="Y21" s="65">
        <f>[9]Summary!$C$8</f>
        <v>10</v>
      </c>
      <c r="Z21" s="69">
        <v>0</v>
      </c>
      <c r="AA21" s="20">
        <v>0</v>
      </c>
      <c r="AB21" s="69">
        <v>0</v>
      </c>
      <c r="AC21" s="65">
        <v>0</v>
      </c>
      <c r="AD21" s="70"/>
      <c r="AE21" s="68"/>
      <c r="AF21" s="71">
        <v>0</v>
      </c>
      <c r="AG21" s="67">
        <f>[12]Summary!$C$5</f>
        <v>0</v>
      </c>
      <c r="AH21" s="24"/>
      <c r="AI21" s="24"/>
      <c r="AJ21" s="72"/>
      <c r="AK21" s="64"/>
      <c r="AL21" s="20">
        <f t="shared" si="0"/>
        <v>100</v>
      </c>
      <c r="AM21" s="20">
        <f t="shared" si="0"/>
        <v>95</v>
      </c>
      <c r="AN21" s="31">
        <f t="shared" si="1"/>
        <v>0.95</v>
      </c>
    </row>
    <row r="22" spans="1:40">
      <c r="A22" s="73">
        <v>45505</v>
      </c>
      <c r="B22" s="69">
        <v>13</v>
      </c>
      <c r="C22" s="65">
        <f>[1]Sheet1!D33</f>
        <v>2</v>
      </c>
      <c r="D22" s="69">
        <v>12</v>
      </c>
      <c r="E22" s="67">
        <v>0</v>
      </c>
      <c r="F22" s="69">
        <v>22</v>
      </c>
      <c r="G22" s="65">
        <f>[2]Index!H20</f>
        <v>22</v>
      </c>
      <c r="H22" s="69">
        <v>0</v>
      </c>
      <c r="I22" s="67">
        <v>0</v>
      </c>
      <c r="J22" s="69">
        <v>1</v>
      </c>
      <c r="K22" s="65">
        <f>[3]Summary!C18</f>
        <v>1</v>
      </c>
      <c r="L22" s="69">
        <v>8</v>
      </c>
      <c r="M22" s="65">
        <f>[4]Summary!C15</f>
        <v>9</v>
      </c>
      <c r="N22" s="69">
        <v>1</v>
      </c>
      <c r="O22" s="65">
        <f>[10]Summary!$C8</f>
        <v>1</v>
      </c>
      <c r="P22" s="69">
        <v>1</v>
      </c>
      <c r="Q22" s="67">
        <f>[8]Key!$C$12</f>
        <v>0</v>
      </c>
      <c r="R22" s="69">
        <v>1</v>
      </c>
      <c r="S22" s="65">
        <f>[11]Summary!$C8</f>
        <v>2</v>
      </c>
      <c r="T22" s="69">
        <v>0</v>
      </c>
      <c r="U22" s="65">
        <v>0</v>
      </c>
      <c r="V22" s="69">
        <v>20</v>
      </c>
      <c r="W22" s="65">
        <f>[6]Summary!C12</f>
        <v>16</v>
      </c>
      <c r="X22" s="69">
        <v>10</v>
      </c>
      <c r="Y22" s="65">
        <f>[9]Summary!$C$9</f>
        <v>3</v>
      </c>
      <c r="Z22" s="69">
        <v>0</v>
      </c>
      <c r="AA22" s="67">
        <v>0</v>
      </c>
      <c r="AB22" s="69">
        <v>0</v>
      </c>
      <c r="AC22" s="67">
        <v>0</v>
      </c>
      <c r="AD22" s="70"/>
      <c r="AE22" s="64"/>
      <c r="AF22" s="74">
        <v>0</v>
      </c>
      <c r="AG22" s="67">
        <f>[12]Summary!$C$5</f>
        <v>0</v>
      </c>
      <c r="AH22" s="75">
        <v>0</v>
      </c>
      <c r="AI22" s="34">
        <v>0</v>
      </c>
      <c r="AJ22" s="72"/>
      <c r="AK22" s="64"/>
      <c r="AL22" s="20">
        <f t="shared" si="0"/>
        <v>89</v>
      </c>
      <c r="AM22" s="20">
        <f t="shared" si="0"/>
        <v>56</v>
      </c>
      <c r="AN22" s="31">
        <f t="shared" si="1"/>
        <v>0.6292134831460674</v>
      </c>
    </row>
    <row r="23" spans="1:40">
      <c r="A23" s="73">
        <v>45536</v>
      </c>
      <c r="B23" s="69">
        <v>13</v>
      </c>
      <c r="C23" s="65">
        <f>[1]Sheet1!D34</f>
        <v>1</v>
      </c>
      <c r="D23" s="69">
        <v>12</v>
      </c>
      <c r="E23" s="76"/>
      <c r="F23" s="69">
        <v>22</v>
      </c>
      <c r="G23" s="65">
        <f>[2]Index!H21</f>
        <v>15</v>
      </c>
      <c r="H23" s="69">
        <v>28</v>
      </c>
      <c r="I23" s="76">
        <v>25</v>
      </c>
      <c r="J23" s="69">
        <v>4</v>
      </c>
      <c r="K23" s="65">
        <f>[3]Summary!C19</f>
        <v>5</v>
      </c>
      <c r="L23" s="69">
        <v>15</v>
      </c>
      <c r="M23" s="65">
        <f>[4]Summary!C16</f>
        <v>13</v>
      </c>
      <c r="N23" s="69">
        <v>1</v>
      </c>
      <c r="O23" s="65">
        <f>[10]Summary!$C9</f>
        <v>1</v>
      </c>
      <c r="P23" s="69">
        <v>1</v>
      </c>
      <c r="Q23" s="76">
        <f>[8]Key!$C$13</f>
        <v>0</v>
      </c>
      <c r="R23" s="69">
        <v>1</v>
      </c>
      <c r="S23" s="65">
        <f>[11]Summary!$C9</f>
        <v>13</v>
      </c>
      <c r="T23" s="69">
        <v>0</v>
      </c>
      <c r="U23" s="65">
        <f>[13]Sheet1!D16</f>
        <v>0</v>
      </c>
      <c r="V23" s="69">
        <v>20</v>
      </c>
      <c r="W23" s="65">
        <f>[6]Summary!C13</f>
        <v>31</v>
      </c>
      <c r="X23" s="69">
        <v>10</v>
      </c>
      <c r="Y23" s="65">
        <f>[9]Summary!$C10</f>
        <v>0</v>
      </c>
      <c r="Z23" s="69">
        <v>0</v>
      </c>
      <c r="AA23" s="76">
        <v>0</v>
      </c>
      <c r="AB23" s="69"/>
      <c r="AC23" s="76">
        <f>[14]Sheet1!D14</f>
        <v>0</v>
      </c>
      <c r="AD23" s="70"/>
      <c r="AE23" s="77"/>
      <c r="AF23" s="74">
        <v>7</v>
      </c>
      <c r="AG23" s="67">
        <f>[12]Sheet1!D12</f>
        <v>0</v>
      </c>
      <c r="AH23" s="78">
        <v>550</v>
      </c>
      <c r="AI23" s="79">
        <v>550</v>
      </c>
      <c r="AJ23" s="80">
        <v>0</v>
      </c>
      <c r="AK23" s="67">
        <v>0</v>
      </c>
      <c r="AL23" s="20">
        <f t="shared" si="0"/>
        <v>684</v>
      </c>
      <c r="AM23" s="20">
        <f t="shared" si="0"/>
        <v>654</v>
      </c>
      <c r="AN23" s="31">
        <f t="shared" si="1"/>
        <v>0.95614035087719296</v>
      </c>
    </row>
    <row r="24" spans="1:40">
      <c r="A24" s="81">
        <v>45566</v>
      </c>
      <c r="B24" s="82">
        <v>9</v>
      </c>
      <c r="C24" s="65">
        <f>[1]Sheet1!D35</f>
        <v>0</v>
      </c>
      <c r="D24" s="82"/>
      <c r="E24" s="76"/>
      <c r="F24" s="82">
        <v>22</v>
      </c>
      <c r="G24" s="65">
        <f>[2]Index!H22</f>
        <v>8</v>
      </c>
      <c r="H24" s="82">
        <v>0</v>
      </c>
      <c r="I24" s="76"/>
      <c r="J24" s="83">
        <v>4</v>
      </c>
      <c r="K24" s="65">
        <f>[3]Summary!C20</f>
        <v>0</v>
      </c>
      <c r="L24" s="82">
        <v>28</v>
      </c>
      <c r="M24" s="65">
        <f>[4]Summary!C17</f>
        <v>5</v>
      </c>
      <c r="N24" s="82">
        <v>1</v>
      </c>
      <c r="O24" s="65">
        <f>[10]Summary!$C10</f>
        <v>0</v>
      </c>
      <c r="P24" s="82">
        <v>1</v>
      </c>
      <c r="Q24" s="76">
        <f>[8]Key!$C$14</f>
        <v>0</v>
      </c>
      <c r="R24" s="82">
        <v>6</v>
      </c>
      <c r="S24" s="65">
        <f>[11]Summary!$C10</f>
        <v>2</v>
      </c>
      <c r="T24" s="82">
        <v>0</v>
      </c>
      <c r="U24" s="65">
        <f>[13]Sheet1!D17</f>
        <v>0</v>
      </c>
      <c r="V24" s="82">
        <v>20</v>
      </c>
      <c r="W24" s="65">
        <f>[6]Summary!C14</f>
        <v>3</v>
      </c>
      <c r="X24" s="82">
        <v>8</v>
      </c>
      <c r="Y24" s="65">
        <f>[9]Summary!$C11</f>
        <v>1</v>
      </c>
      <c r="Z24" s="82">
        <v>1</v>
      </c>
      <c r="AA24" s="76">
        <v>0</v>
      </c>
      <c r="AB24" s="82">
        <v>1</v>
      </c>
      <c r="AC24" s="76">
        <f>[14]Sheet1!D15</f>
        <v>0</v>
      </c>
      <c r="AD24" s="70"/>
      <c r="AE24" s="77"/>
      <c r="AF24" s="84">
        <v>3</v>
      </c>
      <c r="AG24" s="67">
        <f>[12]Sheet1!D13</f>
        <v>0</v>
      </c>
      <c r="AH24" s="85">
        <v>0</v>
      </c>
      <c r="AI24" s="34">
        <v>0</v>
      </c>
      <c r="AJ24" s="86">
        <v>0</v>
      </c>
      <c r="AK24" s="67">
        <v>0</v>
      </c>
      <c r="AL24" s="20">
        <f t="shared" si="0"/>
        <v>104</v>
      </c>
      <c r="AM24" s="20">
        <f t="shared" si="0"/>
        <v>19</v>
      </c>
      <c r="AN24" s="31">
        <f t="shared" si="1"/>
        <v>0.18269230769230768</v>
      </c>
    </row>
    <row r="25" spans="1:40">
      <c r="A25" s="81">
        <v>45597</v>
      </c>
      <c r="B25" s="82">
        <v>9</v>
      </c>
      <c r="C25" s="87">
        <f>[1]Sheet1!D36</f>
        <v>0</v>
      </c>
      <c r="D25" s="88"/>
      <c r="E25" s="89"/>
      <c r="F25" s="88">
        <v>22</v>
      </c>
      <c r="G25" s="87">
        <f>[2]Index!H23</f>
        <v>0</v>
      </c>
      <c r="H25" s="88">
        <v>0</v>
      </c>
      <c r="I25" s="89"/>
      <c r="J25" s="90">
        <v>0</v>
      </c>
      <c r="K25" s="87">
        <f>[3]Summary!C21</f>
        <v>0</v>
      </c>
      <c r="L25" s="88">
        <v>15</v>
      </c>
      <c r="M25" s="87">
        <f>[4]Summary!C18</f>
        <v>0</v>
      </c>
      <c r="N25" s="88">
        <v>1</v>
      </c>
      <c r="O25" s="87">
        <f>[10]Summary!$C11</f>
        <v>0</v>
      </c>
      <c r="P25" s="88">
        <v>1</v>
      </c>
      <c r="Q25" s="89">
        <f>[8]Key!$C$15</f>
        <v>0</v>
      </c>
      <c r="R25" s="88">
        <v>6</v>
      </c>
      <c r="S25" s="87">
        <f>[11]Summary!$C11</f>
        <v>0</v>
      </c>
      <c r="T25" s="88">
        <v>93</v>
      </c>
      <c r="U25" s="87">
        <f>[13]Sheet1!D18</f>
        <v>0</v>
      </c>
      <c r="V25" s="88">
        <v>20</v>
      </c>
      <c r="W25" s="87">
        <f>[6]Summary!C15</f>
        <v>0</v>
      </c>
      <c r="X25" s="88">
        <v>8</v>
      </c>
      <c r="Y25" s="87">
        <f>[9]Summary!$C12</f>
        <v>0</v>
      </c>
      <c r="Z25" s="88">
        <v>2</v>
      </c>
      <c r="AA25" s="89"/>
      <c r="AB25" s="88">
        <v>1</v>
      </c>
      <c r="AC25" s="89">
        <f>[14]Sheet1!D16</f>
        <v>0</v>
      </c>
      <c r="AD25" s="91"/>
      <c r="AE25" s="92"/>
      <c r="AF25" s="93">
        <v>0</v>
      </c>
      <c r="AG25" s="94">
        <f>[12]Sheet1!D14</f>
        <v>0</v>
      </c>
      <c r="AH25" s="95">
        <v>0</v>
      </c>
      <c r="AI25" s="62">
        <v>0</v>
      </c>
      <c r="AJ25" s="96">
        <v>0</v>
      </c>
      <c r="AK25" s="94">
        <f>[15]Sheet1!D18</f>
        <v>0</v>
      </c>
      <c r="AL25" s="25">
        <f t="shared" si="0"/>
        <v>178</v>
      </c>
      <c r="AM25" s="25">
        <f t="shared" si="0"/>
        <v>0</v>
      </c>
      <c r="AN25" s="97">
        <f t="shared" si="1"/>
        <v>0</v>
      </c>
    </row>
    <row r="26" spans="1:40" ht="15" thickBot="1">
      <c r="A26" s="98">
        <v>45627</v>
      </c>
      <c r="B26" s="99">
        <v>9</v>
      </c>
      <c r="C26" s="100">
        <f>[1]Sheet1!D37</f>
        <v>108</v>
      </c>
      <c r="D26" s="101"/>
      <c r="E26" s="102"/>
      <c r="F26" s="101">
        <v>22</v>
      </c>
      <c r="G26" s="100">
        <f>[2]Index!H24</f>
        <v>0</v>
      </c>
      <c r="H26" s="101">
        <v>0</v>
      </c>
      <c r="I26" s="102"/>
      <c r="J26" s="103">
        <v>0</v>
      </c>
      <c r="K26" s="100">
        <f>[3]Summary!C22</f>
        <v>0</v>
      </c>
      <c r="L26" s="101">
        <v>10</v>
      </c>
      <c r="M26" s="100">
        <f>[4]Summary!C19</f>
        <v>0</v>
      </c>
      <c r="N26" s="101">
        <v>1</v>
      </c>
      <c r="O26" s="100">
        <f>[10]Summary!$C12</f>
        <v>0</v>
      </c>
      <c r="P26" s="103">
        <f>[8]Key!$D$16</f>
        <v>1</v>
      </c>
      <c r="Q26" s="102">
        <f>[8]Key!$C$16</f>
        <v>8</v>
      </c>
      <c r="R26" s="101">
        <v>6</v>
      </c>
      <c r="S26" s="100">
        <f>[11]Summary!$C12</f>
        <v>0</v>
      </c>
      <c r="T26" s="101">
        <v>0</v>
      </c>
      <c r="U26" s="100">
        <f>[13]Sheet1!D19</f>
        <v>0</v>
      </c>
      <c r="V26" s="101">
        <v>20</v>
      </c>
      <c r="W26" s="100">
        <f>[6]Summary!C16</f>
        <v>0</v>
      </c>
      <c r="X26" s="101">
        <v>8</v>
      </c>
      <c r="Y26" s="100">
        <f>[9]Summary!$C13</f>
        <v>0</v>
      </c>
      <c r="Z26" s="101">
        <v>2</v>
      </c>
      <c r="AA26" s="102"/>
      <c r="AB26" s="101">
        <v>1</v>
      </c>
      <c r="AC26" s="102">
        <f>[14]Sheet1!D17</f>
        <v>0</v>
      </c>
      <c r="AD26" s="104"/>
      <c r="AE26" s="105"/>
      <c r="AF26" s="106">
        <v>0</v>
      </c>
      <c r="AG26" s="107">
        <f>[12]Sheet1!D15</f>
        <v>0</v>
      </c>
      <c r="AH26" s="108">
        <v>0</v>
      </c>
      <c r="AI26" s="109">
        <v>0</v>
      </c>
      <c r="AJ26" s="110">
        <v>5</v>
      </c>
      <c r="AK26" s="111">
        <f>[15]Sheet1!D19</f>
        <v>0</v>
      </c>
      <c r="AL26" s="112">
        <f t="shared" si="0"/>
        <v>85</v>
      </c>
      <c r="AM26" s="113">
        <f t="shared" si="0"/>
        <v>116</v>
      </c>
      <c r="AN26" s="48">
        <f t="shared" si="1"/>
        <v>1.3647058823529412</v>
      </c>
    </row>
    <row r="27" spans="1:40">
      <c r="A27" s="114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</row>
  </sheetData>
  <pageMargins left="0.7" right="0.7" top="0.75" bottom="0.75" header="0.3" footer="0.3"/>
  <ignoredErrors>
    <ignoredError sqref="AM1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41EB-60E9-4386-BF9C-29941DFBDCCD}">
  <dimension ref="A1:AH8"/>
  <sheetViews>
    <sheetView topLeftCell="F1" workbookViewId="0">
      <selection activeCell="AB15" sqref="AB15"/>
    </sheetView>
  </sheetViews>
  <sheetFormatPr defaultRowHeight="14.45"/>
  <cols>
    <col min="1" max="1" width="10.7109375" bestFit="1" customWidth="1"/>
    <col min="7" max="7" width="14.7109375" customWidth="1"/>
    <col min="8" max="8" width="12.28515625" bestFit="1" customWidth="1"/>
    <col min="32" max="32" width="8.28515625" bestFit="1" customWidth="1"/>
  </cols>
  <sheetData>
    <row r="1" spans="1:34" ht="72">
      <c r="A1" s="12" t="s">
        <v>99</v>
      </c>
      <c r="B1" s="13" t="s">
        <v>100</v>
      </c>
      <c r="C1" s="13" t="s">
        <v>101</v>
      </c>
      <c r="D1" s="14" t="s">
        <v>102</v>
      </c>
      <c r="E1" s="14" t="s">
        <v>103</v>
      </c>
      <c r="F1" s="13" t="s">
        <v>104</v>
      </c>
      <c r="G1" s="13" t="s">
        <v>105</v>
      </c>
      <c r="H1" s="15" t="s">
        <v>106</v>
      </c>
      <c r="I1" s="15" t="s">
        <v>107</v>
      </c>
      <c r="J1" s="13" t="s">
        <v>110</v>
      </c>
      <c r="K1" s="13" t="s">
        <v>111</v>
      </c>
      <c r="L1" s="13" t="s">
        <v>112</v>
      </c>
      <c r="M1" s="13" t="s">
        <v>113</v>
      </c>
      <c r="N1" s="13" t="s">
        <v>114</v>
      </c>
      <c r="O1" s="13" t="s">
        <v>115</v>
      </c>
      <c r="P1" s="13" t="s">
        <v>116</v>
      </c>
      <c r="Q1" s="13" t="s">
        <v>117</v>
      </c>
      <c r="R1" s="13" t="s">
        <v>118</v>
      </c>
      <c r="S1" s="13" t="s">
        <v>119</v>
      </c>
      <c r="T1" s="13" t="s">
        <v>120</v>
      </c>
      <c r="U1" s="13" t="s">
        <v>121</v>
      </c>
      <c r="V1" s="13" t="s">
        <v>122</v>
      </c>
      <c r="W1" s="13" t="s">
        <v>123</v>
      </c>
      <c r="X1" s="15" t="s">
        <v>124</v>
      </c>
      <c r="Y1" s="15" t="s">
        <v>125</v>
      </c>
      <c r="Z1" s="16" t="s">
        <v>126</v>
      </c>
      <c r="AA1" s="16" t="s">
        <v>127</v>
      </c>
      <c r="AB1" s="15" t="s">
        <v>130</v>
      </c>
      <c r="AC1" s="15" t="s">
        <v>131</v>
      </c>
      <c r="AD1" s="15" t="s">
        <v>134</v>
      </c>
      <c r="AE1" s="15" t="s">
        <v>135</v>
      </c>
      <c r="AF1" s="15" t="s">
        <v>136</v>
      </c>
      <c r="AG1" s="15" t="s">
        <v>137</v>
      </c>
      <c r="AH1" s="15" t="s">
        <v>138</v>
      </c>
    </row>
    <row r="2" spans="1:34">
      <c r="A2" s="115">
        <v>45658</v>
      </c>
      <c r="B2" s="116"/>
      <c r="C2" s="117"/>
      <c r="D2" s="116"/>
      <c r="E2" s="117"/>
      <c r="F2" s="116"/>
      <c r="G2" s="117"/>
      <c r="H2" s="116"/>
      <c r="I2" s="117"/>
      <c r="J2" s="116"/>
      <c r="K2" s="117"/>
      <c r="L2" s="116"/>
      <c r="M2" s="117"/>
      <c r="N2" s="118">
        <f>[8]Key!$D$17</f>
        <v>1</v>
      </c>
      <c r="O2" s="117"/>
      <c r="P2" s="116"/>
      <c r="Q2" s="117"/>
      <c r="R2" s="116"/>
      <c r="S2" s="119">
        <f>[13]Sheet1!D20</f>
        <v>0</v>
      </c>
      <c r="T2" s="116"/>
      <c r="U2" s="117"/>
      <c r="V2" s="116"/>
      <c r="W2" s="117"/>
      <c r="X2" s="116"/>
      <c r="Y2" s="117"/>
      <c r="Z2" s="116">
        <v>1</v>
      </c>
      <c r="AA2" s="117">
        <f>[14]Sheet1!D18</f>
        <v>0</v>
      </c>
      <c r="AB2" s="120">
        <v>0</v>
      </c>
      <c r="AC2" s="121">
        <f>[12]Sheet1!D16</f>
        <v>0</v>
      </c>
      <c r="AD2" s="122"/>
      <c r="AE2" s="121">
        <f>[15]Sheet1!D20</f>
        <v>0</v>
      </c>
      <c r="AF2" s="30">
        <f>SUM(B2,D2,F2,H2,J2,L2,N2,P2,R2,T2,V2,X2,Z2,AB2,AD2)</f>
        <v>2</v>
      </c>
      <c r="AG2" s="30">
        <f>SUM(C2,E2,G2,I2,K2,M2,O2,Q2,S2,U2,W2,Y2,AA2,AC2,AE2)</f>
        <v>0</v>
      </c>
      <c r="AH2" s="60">
        <f t="shared" ref="AH2:AH7" si="0">AG2/AF2</f>
        <v>0</v>
      </c>
    </row>
    <row r="3" spans="1:34">
      <c r="A3" s="123">
        <v>45689</v>
      </c>
      <c r="B3" s="124"/>
      <c r="C3" s="76"/>
      <c r="D3" s="124"/>
      <c r="E3" s="76"/>
      <c r="F3" s="124"/>
      <c r="G3" s="76"/>
      <c r="H3" s="124"/>
      <c r="I3" s="76"/>
      <c r="J3" s="124"/>
      <c r="K3" s="76"/>
      <c r="L3" s="124"/>
      <c r="M3" s="76"/>
      <c r="N3" s="125">
        <f>[8]Key!$D$18</f>
        <v>1</v>
      </c>
      <c r="O3" s="76"/>
      <c r="P3" s="124"/>
      <c r="Q3" s="76"/>
      <c r="R3" s="124"/>
      <c r="S3" s="126">
        <f>[13]Sheet1!D21</f>
        <v>0</v>
      </c>
      <c r="T3" s="124"/>
      <c r="U3" s="76"/>
      <c r="V3" s="124"/>
      <c r="W3" s="76"/>
      <c r="X3" s="124"/>
      <c r="Y3" s="76"/>
      <c r="Z3" s="124">
        <v>1</v>
      </c>
      <c r="AA3" s="76">
        <f>[14]Sheet1!D19</f>
        <v>0</v>
      </c>
      <c r="AB3" s="124"/>
      <c r="AC3" s="117">
        <f>[12]Sheet1!D17</f>
        <v>0</v>
      </c>
      <c r="AD3" s="116"/>
      <c r="AE3" s="117">
        <f>[15]Sheet1!D21</f>
        <v>0</v>
      </c>
      <c r="AF3" s="20">
        <f>SUM(B3,D3,F3,H3,J3,L3,N3,P3,R3,T3,V3,X3,Z3,AB3,AD3)</f>
        <v>2</v>
      </c>
      <c r="AG3" s="20">
        <f>SUM(C3,E3,G3,I3,K3,M3,O3,Q3,S3,U3,W3,Y3,AA3,AC3,AE3)</f>
        <v>0</v>
      </c>
      <c r="AH3" s="31">
        <f t="shared" si="0"/>
        <v>0</v>
      </c>
    </row>
    <row r="4" spans="1:34">
      <c r="A4" s="123">
        <v>45717</v>
      </c>
      <c r="B4" s="124"/>
      <c r="C4" s="76"/>
      <c r="D4" s="124"/>
      <c r="E4" s="76"/>
      <c r="F4" s="124"/>
      <c r="G4" s="76"/>
      <c r="H4" s="124"/>
      <c r="I4" s="76"/>
      <c r="J4" s="124"/>
      <c r="K4" s="76"/>
      <c r="L4" s="124"/>
      <c r="M4" s="76"/>
      <c r="N4" s="125">
        <f>[8]Key!$D$19</f>
        <v>0</v>
      </c>
      <c r="O4" s="76"/>
      <c r="P4" s="124"/>
      <c r="Q4" s="76"/>
      <c r="R4" s="124"/>
      <c r="S4" s="126">
        <f>[13]Sheet1!D22</f>
        <v>0</v>
      </c>
      <c r="T4" s="124"/>
      <c r="U4" s="76"/>
      <c r="V4" s="124"/>
      <c r="W4" s="76"/>
      <c r="X4" s="124"/>
      <c r="Y4" s="76"/>
      <c r="Z4" s="124"/>
      <c r="AA4" s="76">
        <f>[14]Sheet1!D20</f>
        <v>0</v>
      </c>
      <c r="AB4" s="124"/>
      <c r="AC4" s="76">
        <f>[12]Sheet1!D18</f>
        <v>0</v>
      </c>
      <c r="AD4" s="124"/>
      <c r="AE4" s="76">
        <f>[15]Sheet1!D22</f>
        <v>0</v>
      </c>
      <c r="AF4" s="30">
        <f t="shared" ref="AF4:AF6" si="1">SUM(B4,D4,F4,H4,J4,L4,N4,P4,R4,T4,V4,X4,Z4,AB4,AD4)</f>
        <v>0</v>
      </c>
      <c r="AG4" s="30">
        <f t="shared" ref="AG4:AG8" si="2">SUM(C4,E4,G4,I4,K4,M4,O4,Q4,S4,U4,W4,Y4,AA4,AC4,AE4)</f>
        <v>0</v>
      </c>
      <c r="AH4" s="31" t="e">
        <f t="shared" si="0"/>
        <v>#DIV/0!</v>
      </c>
    </row>
    <row r="5" spans="1:34">
      <c r="A5" s="9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20">
        <f t="shared" si="1"/>
        <v>0</v>
      </c>
      <c r="AG5" s="20">
        <f t="shared" si="2"/>
        <v>0</v>
      </c>
      <c r="AH5" s="31" t="e">
        <f t="shared" si="0"/>
        <v>#DIV/0!</v>
      </c>
    </row>
    <row r="6" spans="1:34">
      <c r="A6" s="9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30">
        <f t="shared" si="1"/>
        <v>0</v>
      </c>
      <c r="AG6" s="30">
        <f t="shared" si="2"/>
        <v>0</v>
      </c>
      <c r="AH6" s="31" t="e">
        <f t="shared" si="0"/>
        <v>#DIV/0!</v>
      </c>
    </row>
    <row r="7" spans="1:34">
      <c r="A7" s="9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20">
        <f t="shared" si="2"/>
        <v>0</v>
      </c>
      <c r="AH7" s="31" t="e">
        <f t="shared" si="0"/>
        <v>#DIV/0!</v>
      </c>
    </row>
    <row r="8" spans="1:34">
      <c r="A8" s="9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30">
        <f t="shared" si="2"/>
        <v>0</v>
      </c>
      <c r="AH8" s="7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F52EF5C9D8C3439A6FE798EBF196CE" ma:contentTypeVersion="14" ma:contentTypeDescription="Create a new document." ma:contentTypeScope="" ma:versionID="a9290d3aefdf8b1bcf24f6c63a0626c1">
  <xsd:schema xmlns:xsd="http://www.w3.org/2001/XMLSchema" xmlns:xs="http://www.w3.org/2001/XMLSchema" xmlns:p="http://schemas.microsoft.com/office/2006/metadata/properties" xmlns:ns2="212cd427-5374-4c6b-99db-292dfe7770fe" xmlns:ns3="58739d06-85be-4bd3-9208-30d102d3e411" targetNamespace="http://schemas.microsoft.com/office/2006/metadata/properties" ma:root="true" ma:fieldsID="4464870601a39dd4485cbac537159ed1" ns2:_="" ns3:_="">
    <xsd:import namespace="212cd427-5374-4c6b-99db-292dfe7770fe"/>
    <xsd:import namespace="58739d06-85be-4bd3-9208-30d102d3e41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2cd427-5374-4c6b-99db-292dfe7770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621d3bc-3b7b-4607-a38a-9e8bee6174b9}" ma:internalName="TaxCatchAll" ma:showField="CatchAllData" ma:web="212cd427-5374-4c6b-99db-292dfe7770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39d06-85be-4bd3-9208-30d102d3e4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24c2e8c-e69a-4100-97b1-f25b0b94c3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2cd427-5374-4c6b-99db-292dfe7770fe" xsi:nil="true"/>
    <lcf76f155ced4ddcb4097134ff3c332f xmlns="58739d06-85be-4bd3-9208-30d102d3e4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2AB309-A97A-4AD8-81C9-BBDD99D73989}"/>
</file>

<file path=customXml/itemProps2.xml><?xml version="1.0" encoding="utf-8"?>
<ds:datastoreItem xmlns:ds="http://schemas.openxmlformats.org/officeDocument/2006/customXml" ds:itemID="{1E4CC5C0-BF0A-4591-B2FC-FA128BA3835D}"/>
</file>

<file path=customXml/itemProps3.xml><?xml version="1.0" encoding="utf-8"?>
<ds:datastoreItem xmlns:ds="http://schemas.openxmlformats.org/officeDocument/2006/customXml" ds:itemID="{0AA4610C-CA01-415B-B8FA-7350079A3E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Durga Suja</dc:creator>
  <cp:keywords/>
  <dc:description/>
  <cp:lastModifiedBy>Chloe Bickerstaff</cp:lastModifiedBy>
  <cp:revision/>
  <dcterms:created xsi:type="dcterms:W3CDTF">2015-06-05T18:19:34Z</dcterms:created>
  <dcterms:modified xsi:type="dcterms:W3CDTF">2024-11-07T11:18:30Z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0x01010011F52EF5C9D8C3439A6FE798EBF196CE</vt:lpwstr>
  </property>
</Properties>
</file>